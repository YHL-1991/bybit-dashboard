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U 매트릭스" sheetId="1" state="visible" r:id="rId3"/>
    <sheet name="채널별 전략" sheetId="2" state="visible" r:id="rId4"/>
    <sheet name="가정·시뮬레이션" sheetId="3" state="visible" r:id="rId5"/>
    <sheet name="출시 로드맵" sheetId="4" state="visible" r:id="rId6"/>
    <sheet name="KPI 트래커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<sst xmlns="http://schemas.openxmlformats.org/spreadsheetml/2006/main" count="238" uniqueCount="190">
  <si>
    <r>
      <rPr>
        <b val="true"/>
        <sz val="16"/>
        <rFont val="맑은 고딕"/>
        <family val="0"/>
        <charset val="1"/>
      </rPr>
      <t xml:space="preserve">VELOX SKU </t>
    </r>
    <r>
      <rPr>
        <b val="true"/>
        <sz val="16"/>
        <rFont val="DejaVu Sans"/>
        <family val="2"/>
      </rPr>
      <t xml:space="preserve">분해</t>
    </r>
    <r>
      <rPr>
        <b val="true"/>
        <sz val="16"/>
        <rFont val="맑은 고딕"/>
        <family val="0"/>
        <charset val="1"/>
      </rPr>
      <t xml:space="preserve">·</t>
    </r>
    <r>
      <rPr>
        <b val="true"/>
        <sz val="16"/>
        <rFont val="DejaVu Sans"/>
        <family val="2"/>
      </rPr>
      <t xml:space="preserve">가격 전략표</t>
    </r>
  </si>
  <si>
    <r>
      <rPr>
        <i val="true"/>
        <sz val="9"/>
        <color rgb="FF666666"/>
        <rFont val="맑은 고딕"/>
        <family val="0"/>
        <charset val="1"/>
      </rPr>
      <t xml:space="preserve">4</t>
    </r>
    <r>
      <rPr>
        <i val="true"/>
        <sz val="9"/>
        <color rgb="FF666666"/>
        <rFont val="DejaVu Sans"/>
        <family val="2"/>
      </rPr>
      <t xml:space="preserve">개 핵심 기능을 </t>
    </r>
    <r>
      <rPr>
        <i val="true"/>
        <sz val="9"/>
        <color rgb="FF666666"/>
        <rFont val="맑은 고딕"/>
        <family val="0"/>
        <charset val="1"/>
      </rPr>
      <t xml:space="preserve">7</t>
    </r>
    <r>
      <rPr>
        <i val="true"/>
        <sz val="9"/>
        <color rgb="FF666666"/>
        <rFont val="DejaVu Sans"/>
        <family val="2"/>
      </rPr>
      <t xml:space="preserve">개 </t>
    </r>
    <r>
      <rPr>
        <i val="true"/>
        <sz val="9"/>
        <color rgb="FF666666"/>
        <rFont val="맑은 고딕"/>
        <family val="0"/>
        <charset val="1"/>
      </rPr>
      <t xml:space="preserve">SKU</t>
    </r>
    <r>
      <rPr>
        <i val="true"/>
        <sz val="9"/>
        <color rgb="FF666666"/>
        <rFont val="DejaVu Sans"/>
        <family val="2"/>
      </rPr>
      <t xml:space="preserve">로 분해 </t>
    </r>
    <r>
      <rPr>
        <i val="true"/>
        <sz val="9"/>
        <color rgb="FF666666"/>
        <rFont val="맑은 고딕"/>
        <family val="0"/>
        <charset val="1"/>
      </rPr>
      <t xml:space="preserve">· </t>
    </r>
    <r>
      <rPr>
        <i val="true"/>
        <sz val="9"/>
        <color rgb="FF666666"/>
        <rFont val="DejaVu Sans"/>
        <family val="2"/>
      </rPr>
      <t xml:space="preserve">채널별 분산 </t>
    </r>
    <r>
      <rPr>
        <i val="true"/>
        <sz val="9"/>
        <color rgb="FF666666"/>
        <rFont val="맑은 고딕"/>
        <family val="0"/>
        <charset val="1"/>
      </rPr>
      <t xml:space="preserve">· </t>
    </r>
    <r>
      <rPr>
        <i val="true"/>
        <sz val="9"/>
        <color rgb="FF666666"/>
        <rFont val="DejaVu Sans"/>
        <family val="2"/>
      </rPr>
      <t xml:space="preserve">법적 리스크 등급화</t>
    </r>
  </si>
  <si>
    <t xml:space="preserve">SKU</t>
  </si>
  <si>
    <t xml:space="preserve">상품명</t>
  </si>
  <si>
    <t xml:space="preserve">핵심 기능</t>
  </si>
  <si>
    <t xml:space="preserve">채널</t>
  </si>
  <si>
    <t xml:space="preserve">리스크</t>
  </si>
  <si>
    <r>
      <rPr>
        <b val="true"/>
        <sz val="10"/>
        <color rgb="FFFFFFFF"/>
        <rFont val="DejaVu Sans"/>
        <family val="2"/>
      </rPr>
      <t xml:space="preserve">가격</t>
    </r>
    <r>
      <rPr>
        <b val="true"/>
        <sz val="10"/>
        <color rgb="FFFFFFFF"/>
        <rFont val="맑은 고딕"/>
        <family val="0"/>
        <charset val="1"/>
      </rPr>
      <t xml:space="preserve">(Lite)</t>
    </r>
  </si>
  <si>
    <r>
      <rPr>
        <b val="true"/>
        <sz val="10"/>
        <color rgb="FFFFFFFF"/>
        <rFont val="DejaVu Sans"/>
        <family val="2"/>
      </rPr>
      <t xml:space="preserve">가격</t>
    </r>
    <r>
      <rPr>
        <b val="true"/>
        <sz val="10"/>
        <color rgb="FFFFFFFF"/>
        <rFont val="맑은 고딕"/>
        <family val="0"/>
        <charset val="1"/>
      </rPr>
      <t xml:space="preserve">(Std)</t>
    </r>
  </si>
  <si>
    <r>
      <rPr>
        <b val="true"/>
        <sz val="10"/>
        <color rgb="FFFFFFFF"/>
        <rFont val="DejaVu Sans"/>
        <family val="2"/>
      </rPr>
      <t xml:space="preserve">가격</t>
    </r>
    <r>
      <rPr>
        <b val="true"/>
        <sz val="10"/>
        <color rgb="FFFFFFFF"/>
        <rFont val="맑은 고딕"/>
        <family val="0"/>
        <charset val="1"/>
      </rPr>
      <t xml:space="preserve">(Premium)</t>
    </r>
  </si>
  <si>
    <t xml:space="preserve">추정 마진율</t>
  </si>
  <si>
    <t xml:space="preserve">월 예상 판매수</t>
  </si>
  <si>
    <t xml:space="preserve">월 예상 매출</t>
  </si>
  <si>
    <t xml:space="preserve">주요 차별화</t>
  </si>
  <si>
    <t xml:space="preserve">업셀 경로</t>
  </si>
  <si>
    <t xml:space="preserve">A</t>
  </si>
  <si>
    <r>
      <rPr>
        <sz val="10"/>
        <rFont val="DejaVu Sans"/>
        <family val="2"/>
      </rPr>
      <t xml:space="preserve">백테스트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청산가 분석 도구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라이선스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</si>
  <si>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백테스트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청산가 시각화</t>
    </r>
  </si>
  <si>
    <t xml:space="preserve">크몽</t>
  </si>
  <si>
    <r>
      <rPr>
        <sz val="10"/>
        <rFont val="DejaVu Sans"/>
        <family val="2"/>
      </rPr>
      <t xml:space="preserve">낮음 </t>
    </r>
    <r>
      <rPr>
        <sz val="10"/>
        <rFont val="맑은 고딕"/>
        <family val="0"/>
        <charset val="1"/>
      </rPr>
      <t xml:space="preserve">(★)</t>
    </r>
  </si>
  <si>
    <r>
      <rPr>
        <sz val="10"/>
        <rFont val="DejaVu Sans"/>
        <family val="2"/>
      </rPr>
      <t xml:space="preserve">청산가 자동 계산 </t>
    </r>
    <r>
      <rPr>
        <sz val="10"/>
        <rFont val="맑은 고딕"/>
        <family val="0"/>
        <charset val="1"/>
      </rPr>
      <t xml:space="preserve">+ FastAPI </t>
    </r>
    <r>
      <rPr>
        <sz val="10"/>
        <rFont val="DejaVu Sans"/>
        <family val="2"/>
      </rPr>
      <t xml:space="preserve">대시보드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로컬 실행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데이터 외부 전송 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</si>
  <si>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도구 → 컨설팅 </t>
    </r>
    <r>
      <rPr>
        <sz val="10"/>
        <rFont val="맑은 고딕"/>
        <family val="0"/>
        <charset val="1"/>
      </rPr>
      <t xml:space="preserve">C → </t>
    </r>
    <r>
      <rPr>
        <sz val="10"/>
        <rFont val="DejaVu Sans"/>
        <family val="2"/>
      </rPr>
      <t xml:space="preserve">외부 라이선스 </t>
    </r>
    <r>
      <rPr>
        <sz val="10"/>
        <rFont val="맑은 고딕"/>
        <family val="0"/>
        <charset val="1"/>
      </rPr>
      <t xml:space="preserve">D</t>
    </r>
  </si>
  <si>
    <t xml:space="preserve">B</t>
  </si>
  <si>
    <r>
      <rPr>
        <sz val="10"/>
        <rFont val="맑은 고딕"/>
        <family val="0"/>
        <charset val="1"/>
      </rPr>
      <t xml:space="preserve">FastAPI </t>
    </r>
    <r>
      <rPr>
        <sz val="10"/>
        <rFont val="DejaVu Sans"/>
        <family val="2"/>
      </rPr>
      <t xml:space="preserve">트레이딩 대시보드 커스텀 개발</t>
    </r>
  </si>
  <si>
    <t xml:space="preserve">커스텀 개발 외주</t>
  </si>
  <si>
    <r>
      <rPr>
        <sz val="10"/>
        <rFont val="DejaVu Sans"/>
        <family val="2"/>
      </rPr>
      <t xml:space="preserve">전략은 고객 제공 → 개발자는 코더 포지셔닝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페이퍼 트레이딩 환경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저작권 양도 옵션</t>
    </r>
  </si>
  <si>
    <r>
      <rPr>
        <sz val="10"/>
        <rFont val="DejaVu Sans"/>
        <family val="2"/>
      </rPr>
      <t xml:space="preserve">외주 → 유지보수 월정액 → 컨설팅 </t>
    </r>
    <r>
      <rPr>
        <sz val="10"/>
        <rFont val="맑은 고딕"/>
        <family val="0"/>
        <charset val="1"/>
      </rPr>
      <t xml:space="preserve">C</t>
    </r>
  </si>
  <si>
    <t xml:space="preserve">C</t>
  </si>
  <si>
    <r>
      <rPr>
        <sz val="10"/>
        <rFont val="DejaVu Sans"/>
        <family val="2"/>
      </rPr>
      <t xml:space="preserve">트레이딩 시스템 </t>
    </r>
    <r>
      <rPr>
        <sz val="10"/>
        <rFont val="맑은 고딕"/>
        <family val="0"/>
        <charset val="1"/>
      </rPr>
      <t xml:space="preserve">1:1 </t>
    </r>
    <r>
      <rPr>
        <sz val="10"/>
        <rFont val="DejaVu Sans"/>
        <family val="2"/>
      </rPr>
      <t xml:space="preserve">컨설팅 </t>
    </r>
    <r>
      <rPr>
        <sz val="10"/>
        <rFont val="맑은 고딕"/>
        <family val="0"/>
        <charset val="1"/>
      </rPr>
      <t xml:space="preserve">(8</t>
    </r>
    <r>
      <rPr>
        <sz val="10"/>
        <rFont val="DejaVu Sans"/>
        <family val="2"/>
      </rPr>
      <t xml:space="preserve">주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</si>
  <si>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교육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멘토링</t>
    </r>
  </si>
  <si>
    <r>
      <rPr>
        <sz val="10"/>
        <rFont val="DejaVu Sans"/>
        <family val="2"/>
      </rPr>
      <t xml:space="preserve">낮음</t>
    </r>
    <r>
      <rPr>
        <sz val="10"/>
        <rFont val="맑은 고딕"/>
        <family val="0"/>
        <charset val="1"/>
      </rPr>
      <t xml:space="preserve">~</t>
    </r>
    <r>
      <rPr>
        <sz val="10"/>
        <rFont val="DejaVu Sans"/>
        <family val="2"/>
      </rPr>
      <t xml:space="preserve">중간 </t>
    </r>
    <r>
      <rPr>
        <sz val="10"/>
        <rFont val="맑은 고딕"/>
        <family val="0"/>
        <charset val="1"/>
      </rPr>
      <t xml:space="preserve">(★★)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</si>
  <si>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DejaVu Sans"/>
        <family val="2"/>
      </rPr>
      <t xml:space="preserve">종목 추천 </t>
    </r>
    <r>
      <rPr>
        <sz val="10"/>
        <rFont val="맑은 고딕"/>
        <family val="0"/>
        <charset val="1"/>
      </rPr>
      <t xml:space="preserve">0" </t>
    </r>
    <r>
      <rPr>
        <sz val="10"/>
        <rFont val="DejaVu Sans"/>
        <family val="2"/>
      </rPr>
      <t xml:space="preserve">원칙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본인 시스템 구축 → 졸업생 자산화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후속 유료 그룹 가능</t>
    </r>
  </si>
  <si>
    <r>
      <rPr>
        <sz val="10"/>
        <rFont val="DejaVu Sans"/>
        <family val="2"/>
      </rPr>
      <t xml:space="preserve">컨설팅 → 그룹 코호트 </t>
    </r>
    <r>
      <rPr>
        <sz val="10"/>
        <rFont val="맑은 고딕"/>
        <family val="0"/>
        <charset val="1"/>
      </rPr>
      <t xml:space="preserve">G → </t>
    </r>
    <r>
      <rPr>
        <sz val="10"/>
        <rFont val="DejaVu Sans"/>
        <family val="2"/>
      </rPr>
      <t xml:space="preserve">외부 멤버십 </t>
    </r>
    <r>
      <rPr>
        <sz val="10"/>
        <rFont val="맑은 고딕"/>
        <family val="0"/>
        <charset val="1"/>
      </rPr>
      <t xml:space="preserve">F</t>
    </r>
  </si>
  <si>
    <t xml:space="preserve">D</t>
  </si>
  <si>
    <r>
      <rPr>
        <sz val="10"/>
        <rFont val="DejaVu Sans"/>
        <family val="2"/>
      </rPr>
      <t xml:space="preserve">온라인 강의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인프런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클래스</t>
    </r>
    <r>
      <rPr>
        <sz val="10"/>
        <rFont val="맑은 고딕"/>
        <family val="0"/>
        <charset val="1"/>
      </rPr>
      <t xml:space="preserve">101·</t>
    </r>
    <r>
      <rPr>
        <sz val="10"/>
        <rFont val="DejaVu Sans"/>
        <family val="2"/>
      </rPr>
      <t xml:space="preserve">유데미</t>
    </r>
    <r>
      <rPr>
        <sz val="10"/>
        <rFont val="맑은 고딕"/>
        <family val="0"/>
        <charset val="1"/>
      </rPr>
      <t xml:space="preserve">)</t>
    </r>
  </si>
  <si>
    <t xml:space="preserve">교육 콘텐츠</t>
  </si>
  <si>
    <r>
      <rPr>
        <sz val="10"/>
        <rFont val="DejaVu Sans"/>
        <family val="2"/>
      </rPr>
      <t xml:space="preserve">외부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인프런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유데미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</si>
  <si>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플랫폼 트래픽 활용 </t>
    </r>
    <r>
      <rPr>
        <sz val="10"/>
        <rFont val="맑은 고딕"/>
        <family val="0"/>
        <charset val="1"/>
      </rPr>
      <t xml:space="preserve">· </t>
    </r>
    <r>
      <rPr>
        <sz val="10"/>
        <rFont val="DejaVu Sans"/>
        <family val="2"/>
      </rPr>
      <t xml:space="preserve">자동 매출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잠</t>
    </r>
    <r>
      <rPr>
        <sz val="10"/>
        <rFont val="맑은 고딕"/>
        <family val="0"/>
        <charset val="1"/>
      </rPr>
      <t xml:space="preserve">) · </t>
    </r>
    <r>
      <rPr>
        <sz val="10"/>
        <rFont val="DejaVu Sans"/>
        <family val="2"/>
      </rPr>
      <t xml:space="preserve">글로벌 노출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유데미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</si>
  <si>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강의 → 컨설팅 </t>
    </r>
    <r>
      <rPr>
        <sz val="10"/>
        <rFont val="맑은 고딕"/>
        <family val="0"/>
        <charset val="1"/>
      </rPr>
      <t xml:space="preserve">C → </t>
    </r>
    <r>
      <rPr>
        <sz val="10"/>
        <rFont val="DejaVu Sans"/>
        <family val="2"/>
      </rPr>
      <t xml:space="preserve">멤버십 </t>
    </r>
    <r>
      <rPr>
        <sz val="10"/>
        <rFont val="맑은 고딕"/>
        <family val="0"/>
        <charset val="1"/>
      </rPr>
      <t xml:space="preserve">F</t>
    </r>
  </si>
  <si>
    <t xml:space="preserve">E</t>
  </si>
  <si>
    <r>
      <rPr>
        <sz val="10"/>
        <rFont val="맑은 고딕"/>
        <family val="0"/>
        <charset val="1"/>
      </rPr>
      <t xml:space="preserve">VELOX </t>
    </r>
    <r>
      <rPr>
        <sz val="10"/>
        <rFont val="DejaVu Sans"/>
        <family val="2"/>
      </rPr>
      <t xml:space="preserve">봇 라이선스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완성품</t>
    </r>
    <r>
      <rPr>
        <sz val="10"/>
        <rFont val="맑은 고딕"/>
        <family val="0"/>
        <charset val="1"/>
      </rPr>
      <t xml:space="preserve">)</t>
    </r>
  </si>
  <si>
    <t xml:space="preserve">자동매매 봇 라이선스</t>
  </si>
  <si>
    <r>
      <rPr>
        <sz val="10"/>
        <rFont val="DejaVu Sans"/>
        <family val="2"/>
      </rPr>
      <t xml:space="preserve">외부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자체 사이트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</si>
  <si>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중간</t>
    </r>
    <r>
      <rPr>
        <sz val="10"/>
        <rFont val="맑은 고딕"/>
        <family val="0"/>
        <charset val="1"/>
      </rPr>
      <t xml:space="preserve">~</t>
    </r>
    <r>
      <rPr>
        <sz val="10"/>
        <rFont val="DejaVu Sans"/>
        <family val="2"/>
      </rPr>
      <t xml:space="preserve">높음 </t>
    </r>
    <r>
      <rPr>
        <sz val="10"/>
        <rFont val="맑은 고딕"/>
        <family val="0"/>
        <charset val="1"/>
      </rPr>
      <t xml:space="preserve">(★★★★)</t>
    </r>
  </si>
  <si>
    <r>
      <rPr>
        <sz val="10"/>
        <rFont val="DejaVu Sans"/>
        <family val="2"/>
      </rPr>
      <t xml:space="preserve">완성형 봇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설치 가이드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업데이트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자체 사이트 </t>
    </r>
    <r>
      <rPr>
        <sz val="10"/>
        <rFont val="맑은 고딕"/>
        <family val="0"/>
        <charset val="1"/>
      </rPr>
      <t xml:space="preserve">+ Stripe </t>
    </r>
    <r>
      <rPr>
        <sz val="10"/>
        <rFont val="DejaVu Sans"/>
        <family val="2"/>
      </rPr>
      <t xml:space="preserve">결제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글로벌 방어막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</si>
  <si>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라이선스 → 멤버십 </t>
    </r>
    <r>
      <rPr>
        <sz val="10"/>
        <rFont val="맑은 고딕"/>
        <family val="0"/>
        <charset val="1"/>
      </rPr>
      <t xml:space="preserve">F → </t>
    </r>
    <r>
      <rPr>
        <sz val="10"/>
        <rFont val="DejaVu Sans"/>
        <family val="2"/>
      </rPr>
      <t xml:space="preserve">그룹 </t>
    </r>
    <r>
      <rPr>
        <sz val="10"/>
        <rFont val="맑은 고딕"/>
        <family val="0"/>
        <charset val="1"/>
      </rPr>
      <t xml:space="preserve">G</t>
    </r>
  </si>
  <si>
    <t xml:space="preserve">F</t>
  </si>
  <si>
    <r>
      <rPr>
        <sz val="10"/>
        <rFont val="DejaVu Sans"/>
        <family val="2"/>
      </rPr>
      <t xml:space="preserve">시그널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시황 멤버십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디스코드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텔레그램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</si>
  <si>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시그널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시황 알림</t>
    </r>
  </si>
  <si>
    <r>
      <rPr>
        <sz val="10"/>
        <rFont val="DejaVu Sans"/>
        <family val="2"/>
      </rPr>
      <t xml:space="preserve">외부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디스코드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</si>
  <si>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높음 </t>
    </r>
    <r>
      <rPr>
        <sz val="10"/>
        <rFont val="맑은 고딕"/>
        <family val="0"/>
        <charset val="1"/>
      </rPr>
      <t xml:space="preserve">(★★★★)</t>
    </r>
  </si>
  <si>
    <r>
      <rPr>
        <sz val="10"/>
        <rFont val="DejaVu Sans"/>
        <family val="2"/>
      </rPr>
      <t xml:space="preserve">월간 구독 </t>
    </r>
    <r>
      <rPr>
        <sz val="10"/>
        <rFont val="맑은 고딕"/>
        <family val="0"/>
        <charset val="1"/>
      </rPr>
      <t xml:space="preserve">LTV · </t>
    </r>
    <r>
      <rPr>
        <sz val="10"/>
        <rFont val="DejaVu Sans"/>
        <family val="2"/>
      </rPr>
      <t xml:space="preserve">커뮤니티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디스코드 봇 자동화 </t>
    </r>
    <r>
      <rPr>
        <sz val="10"/>
        <rFont val="맑은 고딕"/>
        <family val="0"/>
        <charset val="1"/>
      </rPr>
      <t xml:space="preserve">· </t>
    </r>
    <r>
      <rPr>
        <sz val="10"/>
        <rFont val="DejaVu Sans"/>
        <family val="2"/>
      </rPr>
      <t xml:space="preserve">수익 보장 절대 금지</t>
    </r>
  </si>
  <si>
    <r>
      <rPr>
        <sz val="10"/>
        <rFont val="DejaVu Sans"/>
        <family val="2"/>
      </rPr>
      <t xml:space="preserve">멤버십 → 라이선스 </t>
    </r>
    <r>
      <rPr>
        <sz val="10"/>
        <rFont val="맑은 고딕"/>
        <family val="0"/>
        <charset val="1"/>
      </rPr>
      <t xml:space="preserve">E → </t>
    </r>
    <r>
      <rPr>
        <sz val="10"/>
        <rFont val="DejaVu Sans"/>
        <family val="2"/>
      </rPr>
      <t xml:space="preserve">컨설팅 </t>
    </r>
    <r>
      <rPr>
        <sz val="10"/>
        <rFont val="맑은 고딕"/>
        <family val="0"/>
        <charset val="1"/>
      </rPr>
      <t xml:space="preserve">C</t>
    </r>
  </si>
  <si>
    <t xml:space="preserve">G</t>
  </si>
  <si>
    <r>
      <rPr>
        <sz val="10"/>
        <rFont val="DejaVu Sans"/>
        <family val="2"/>
      </rPr>
      <t xml:space="preserve">코호트 그룹 프로그램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분기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회</t>
    </r>
    <r>
      <rPr>
        <sz val="10"/>
        <rFont val="맑은 고딕"/>
        <family val="0"/>
        <charset val="1"/>
      </rPr>
      <t xml:space="preserve">)</t>
    </r>
  </si>
  <si>
    <t xml:space="preserve">그룹 멘토링</t>
  </si>
  <si>
    <r>
      <rPr>
        <sz val="10"/>
        <rFont val="DejaVu Sans"/>
        <family val="2"/>
      </rPr>
      <t xml:space="preserve">중간 </t>
    </r>
    <r>
      <rPr>
        <sz val="10"/>
        <rFont val="맑은 고딕"/>
        <family val="0"/>
        <charset val="1"/>
      </rPr>
      <t xml:space="preserve">(★★★)</t>
    </r>
  </si>
  <si>
    <r>
      <rPr>
        <sz val="10"/>
        <rFont val="DejaVu Sans"/>
        <family val="2"/>
      </rPr>
      <t xml:space="preserve">졸업생 커뮤니티 자산화 </t>
    </r>
    <r>
      <rPr>
        <sz val="10"/>
        <rFont val="맑은 고딕"/>
        <family val="0"/>
        <charset val="1"/>
      </rPr>
      <t xml:space="preserve">· </t>
    </r>
    <r>
      <rPr>
        <sz val="10"/>
        <rFont val="DejaVu Sans"/>
        <family val="2"/>
      </rPr>
      <t xml:space="preserve">분기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회 한정 모집 </t>
    </r>
    <r>
      <rPr>
        <sz val="10"/>
        <rFont val="맑은 고딕"/>
        <family val="0"/>
        <charset val="1"/>
      </rPr>
      <t xml:space="preserve">· </t>
    </r>
    <r>
      <rPr>
        <sz val="10"/>
        <rFont val="DejaVu Sans"/>
        <family val="2"/>
      </rPr>
      <t xml:space="preserve">알럼나이 네트워크</t>
    </r>
  </si>
  <si>
    <r>
      <rPr>
        <sz val="10"/>
        <rFont val="DejaVu Sans"/>
        <family val="2"/>
      </rPr>
      <t xml:space="preserve">그룹 → 컨설팅 </t>
    </r>
    <r>
      <rPr>
        <sz val="10"/>
        <rFont val="맑은 고딕"/>
        <family val="0"/>
        <charset val="1"/>
      </rPr>
      <t xml:space="preserve">C → </t>
    </r>
    <r>
      <rPr>
        <sz val="10"/>
        <rFont val="DejaVu Sans"/>
        <family val="2"/>
      </rPr>
      <t xml:space="preserve">라이선스 </t>
    </r>
    <r>
      <rPr>
        <sz val="10"/>
        <rFont val="맑은 고딕"/>
        <family val="0"/>
        <charset val="1"/>
      </rPr>
      <t xml:space="preserve">E</t>
    </r>
  </si>
  <si>
    <t xml:space="preserve">합계</t>
  </si>
  <si>
    <r>
      <rPr>
        <b val="true"/>
        <sz val="10"/>
        <rFont val="맑은 고딕"/>
        <family val="0"/>
        <charset val="1"/>
      </rPr>
      <t xml:space="preserve">[</t>
    </r>
    <r>
      <rPr>
        <b val="true"/>
        <sz val="10"/>
        <rFont val="DejaVu Sans"/>
        <family val="2"/>
      </rPr>
      <t xml:space="preserve">범례</t>
    </r>
    <r>
      <rPr>
        <b val="true"/>
        <sz val="10"/>
        <rFont val="맑은 고딕"/>
        <family val="0"/>
        <charset val="1"/>
      </rPr>
      <t xml:space="preserve">]</t>
    </r>
  </si>
  <si>
    <t xml:space="preserve">크몽 채널</t>
  </si>
  <si>
    <r>
      <rPr>
        <sz val="11"/>
        <color theme="1"/>
        <rFont val="DejaVu Sans"/>
        <family val="2"/>
      </rPr>
      <t xml:space="preserve">크몽 등록 가능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정책 위반 표현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DejaVu Sans"/>
        <family val="2"/>
      </rPr>
      <t xml:space="preserve">개 유지 필수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</si>
  <si>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DejaVu Sans"/>
        <family val="2"/>
      </rPr>
      <t xml:space="preserve">외부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저위험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</si>
  <si>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외부 채널 운영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교육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도구 카테고리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법적 리스크 낮음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</si>
  <si>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DejaVu Sans"/>
        <family val="2"/>
      </rPr>
      <t xml:space="preserve">외부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고위험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</si>
  <si>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시그널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완성품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가상자산이용자보호법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단계 입법 모니터링 필수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면책 강화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</si>
  <si>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6"/>
        <rFont val="DejaVu Sans"/>
        <family val="2"/>
      </rPr>
      <t xml:space="preserve">채널별 운영 전략 </t>
    </r>
    <r>
      <rPr>
        <b val="true"/>
        <sz val="16"/>
        <rFont val="맑은 고딕"/>
        <family val="0"/>
        <charset val="1"/>
      </rPr>
      <t xml:space="preserve">· </t>
    </r>
    <r>
      <rPr>
        <b val="true"/>
        <sz val="16"/>
        <rFont val="DejaVu Sans"/>
        <family val="2"/>
      </rPr>
      <t xml:space="preserve">노출 경로 </t>
    </r>
    <r>
      <rPr>
        <b val="true"/>
        <sz val="16"/>
        <rFont val="맑은 고딕"/>
        <family val="0"/>
        <charset val="1"/>
      </rPr>
      <t xml:space="preserve">· </t>
    </r>
    <r>
      <rPr>
        <b val="true"/>
        <sz val="16"/>
        <rFont val="DejaVu Sans"/>
        <family val="2"/>
      </rPr>
      <t xml:space="preserve">리스크 대응</t>
    </r>
  </si>
  <si>
    <r>
      <rPr>
        <b val="true"/>
        <sz val="10"/>
        <color rgb="FFFFFFFF"/>
        <rFont val="DejaVu Sans"/>
        <family val="2"/>
      </rPr>
      <t xml:space="preserve">대상 </t>
    </r>
    <r>
      <rPr>
        <b val="true"/>
        <sz val="10"/>
        <color rgb="FFFFFFFF"/>
        <rFont val="맑은 고딕"/>
        <family val="0"/>
        <charset val="1"/>
      </rPr>
      <t xml:space="preserve">SKU</t>
    </r>
  </si>
  <si>
    <t xml:space="preserve">월 트래픽 전략</t>
  </si>
  <si>
    <r>
      <rPr>
        <b val="true"/>
        <sz val="10"/>
        <color rgb="FFFFFFFF"/>
        <rFont val="DejaVu Sans"/>
        <family val="2"/>
      </rPr>
      <t xml:space="preserve">결제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정산</t>
    </r>
  </si>
  <si>
    <t xml:space="preserve">주요 리스크</t>
  </si>
  <si>
    <t xml:space="preserve">대응 방안</t>
  </si>
  <si>
    <r>
      <rPr>
        <sz val="10"/>
        <rFont val="DejaVu Sans"/>
        <family val="2"/>
      </rPr>
      <t xml:space="preserve">크몽 </t>
    </r>
    <r>
      <rPr>
        <sz val="10"/>
        <rFont val="맑은 고딕"/>
        <family val="0"/>
        <charset val="1"/>
      </rPr>
      <t xml:space="preserve">(Kmong)</t>
    </r>
  </si>
  <si>
    <t xml:space="preserve">A · B · C</t>
  </si>
  <si>
    <r>
      <rPr>
        <sz val="10"/>
        <rFont val="맑은 고딕"/>
        <family val="0"/>
        <charset val="1"/>
      </rPr>
      <t xml:space="preserve">SEO </t>
    </r>
    <r>
      <rPr>
        <sz val="10"/>
        <rFont val="DejaVu Sans"/>
        <family val="2"/>
      </rPr>
      <t xml:space="preserve">키워드</t>
    </r>
    <r>
      <rPr>
        <sz val="10"/>
        <rFont val="맑은 고딕"/>
        <family val="0"/>
        <charset val="1"/>
      </rPr>
      <t xml:space="preserve">: "</t>
    </r>
    <r>
      <rPr>
        <sz val="10"/>
        <rFont val="DejaVu Sans"/>
        <family val="2"/>
      </rPr>
      <t xml:space="preserve">암호화폐 백테스트 도구</t>
    </r>
    <r>
      <rPr>
        <sz val="10"/>
        <rFont val="맑은 고딕"/>
        <family val="0"/>
        <charset val="1"/>
      </rPr>
      <t xml:space="preserve">", "</t>
    </r>
    <r>
      <rPr>
        <sz val="10"/>
        <rFont val="DejaVu Sans"/>
        <family val="2"/>
      </rPr>
      <t xml:space="preserve">트레이딩 봇 외주</t>
    </r>
    <r>
      <rPr>
        <sz val="10"/>
        <rFont val="맑은 고딕"/>
        <family val="0"/>
        <charset val="1"/>
      </rPr>
      <t xml:space="preserve">", "Python </t>
    </r>
    <r>
      <rPr>
        <sz val="10"/>
        <rFont val="DejaVu Sans"/>
        <family val="2"/>
      </rPr>
      <t xml:space="preserve">트레이딩 멘토링</t>
    </r>
    <r>
      <rPr>
        <sz val="10"/>
        <rFont val="맑은 고딕"/>
        <family val="0"/>
        <charset val="1"/>
      </rPr>
      <t xml:space="preserve">". </t>
    </r>
    <r>
      <rPr>
        <sz val="10"/>
        <rFont val="DejaVu Sans"/>
        <family val="2"/>
      </rPr>
      <t xml:space="preserve">리뷰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재의뢰가 노출의 핵심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</si>
  <si>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크몽 자체 결제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수수료 </t>
    </r>
    <r>
      <rPr>
        <sz val="10"/>
        <rFont val="맑은 고딕"/>
        <family val="0"/>
        <charset val="1"/>
      </rPr>
      <t xml:space="preserve">15~20%) · </t>
    </r>
    <r>
      <rPr>
        <sz val="10"/>
        <rFont val="DejaVu Sans"/>
        <family val="2"/>
      </rPr>
      <t xml:space="preserve">정산 주기 약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주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</si>
  <si>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DejaVu Sans"/>
        <family val="2"/>
      </rPr>
      <t xml:space="preserve">수익률</t>
    </r>
    <r>
      <rPr>
        <sz val="10"/>
        <rFont val="맑은 고딕"/>
        <family val="0"/>
        <charset val="1"/>
      </rPr>
      <t xml:space="preserve">" "</t>
    </r>
    <r>
      <rPr>
        <sz val="10"/>
        <rFont val="DejaVu Sans"/>
        <family val="2"/>
      </rPr>
      <t xml:space="preserve">보장</t>
    </r>
    <r>
      <rPr>
        <sz val="10"/>
        <rFont val="맑은 고딕"/>
        <family val="0"/>
        <charset val="1"/>
      </rPr>
      <t xml:space="preserve">" </t>
    </r>
    <r>
      <rPr>
        <sz val="10"/>
        <rFont val="DejaVu Sans"/>
        <family val="2"/>
      </rPr>
      <t xml:space="preserve">표현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시그널 카테고리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자동매매 완성품 직판 시 정지</t>
    </r>
  </si>
  <si>
    <r>
      <rPr>
        <sz val="10"/>
        <rFont val="DejaVu Sans"/>
        <family val="2"/>
      </rPr>
      <t xml:space="preserve">카피 정기 검수 </t>
    </r>
    <r>
      <rPr>
        <sz val="10"/>
        <rFont val="맑은 고딕"/>
        <family val="0"/>
        <charset val="1"/>
      </rPr>
      <t xml:space="preserve">· </t>
    </r>
    <r>
      <rPr>
        <sz val="10"/>
        <rFont val="DejaVu Sans"/>
        <family val="2"/>
      </rPr>
      <t xml:space="preserve">리뷰 답변 시 수익 동조 금지 </t>
    </r>
    <r>
      <rPr>
        <sz val="10"/>
        <rFont val="맑은 고딕"/>
        <family val="0"/>
        <charset val="1"/>
      </rPr>
      <t xml:space="preserve">· </t>
    </r>
    <r>
      <rPr>
        <sz val="10"/>
        <rFont val="DejaVu Sans"/>
        <family val="2"/>
      </rPr>
      <t xml:space="preserve">거절 시 </t>
    </r>
    <r>
      <rPr>
        <sz val="10"/>
        <rFont val="맑은 고딕"/>
        <family val="0"/>
        <charset val="1"/>
      </rPr>
      <t xml:space="preserve">IT·</t>
    </r>
    <r>
      <rPr>
        <sz val="10"/>
        <rFont val="DejaVu Sans"/>
        <family val="2"/>
      </rPr>
      <t xml:space="preserve">프로그래밍 카테고리로 재시도</t>
    </r>
  </si>
  <si>
    <r>
      <rPr>
        <sz val="10"/>
        <rFont val="DejaVu Sans"/>
        <family val="2"/>
      </rPr>
      <t xml:space="preserve">인프런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클래스</t>
    </r>
    <r>
      <rPr>
        <sz val="10"/>
        <rFont val="맑은 고딕"/>
        <family val="0"/>
        <charset val="1"/>
      </rPr>
      <t xml:space="preserve">101·</t>
    </r>
    <r>
      <rPr>
        <sz val="10"/>
        <rFont val="DejaVu Sans"/>
        <family val="2"/>
      </rPr>
      <t xml:space="preserve">유데미</t>
    </r>
  </si>
  <si>
    <r>
      <rPr>
        <sz val="10"/>
        <rFont val="맑은 고딕"/>
        <family val="0"/>
        <charset val="1"/>
      </rPr>
      <t xml:space="preserve">D (</t>
    </r>
    <r>
      <rPr>
        <sz val="10"/>
        <rFont val="DejaVu Sans"/>
        <family val="2"/>
      </rPr>
      <t xml:space="preserve">강의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</si>
  <si>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플랫폼 추천 알고리즘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첫 주 무료 강의로 리드 수집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유데미는 글로벌 노출 가능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</si>
  <si>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플랫폼 수수료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인프런 </t>
    </r>
    <r>
      <rPr>
        <sz val="10"/>
        <rFont val="맑은 고딕"/>
        <family val="0"/>
        <charset val="1"/>
      </rPr>
      <t xml:space="preserve">50%, </t>
    </r>
    <r>
      <rPr>
        <sz val="10"/>
        <rFont val="DejaVu Sans"/>
        <family val="2"/>
      </rPr>
      <t xml:space="preserve">클래스</t>
    </r>
    <r>
      <rPr>
        <sz val="10"/>
        <rFont val="맑은 고딕"/>
        <family val="0"/>
        <charset val="1"/>
      </rPr>
      <t xml:space="preserve">101 </t>
    </r>
    <r>
      <rPr>
        <sz val="10"/>
        <rFont val="DejaVu Sans"/>
        <family val="2"/>
      </rPr>
      <t xml:space="preserve">협의</t>
    </r>
    <r>
      <rPr>
        <sz val="10"/>
        <rFont val="맑은 고딕"/>
        <family val="0"/>
        <charset val="1"/>
      </rPr>
      <t xml:space="preserve">, </t>
    </r>
    <r>
      <rPr>
        <sz val="10"/>
        <rFont val="DejaVu Sans"/>
        <family val="2"/>
      </rPr>
      <t xml:space="preserve">유데미 </t>
    </r>
    <r>
      <rPr>
        <sz val="10"/>
        <rFont val="맑은 고딕"/>
        <family val="0"/>
        <charset val="1"/>
      </rPr>
      <t xml:space="preserve">50/50). </t>
    </r>
    <r>
      <rPr>
        <sz val="10"/>
        <rFont val="DejaVu Sans"/>
        <family val="2"/>
      </rPr>
      <t xml:space="preserve">정산 월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회</t>
    </r>
    <r>
      <rPr>
        <sz val="10"/>
        <rFont val="맑은 고딕"/>
        <family val="0"/>
        <charset val="1"/>
      </rPr>
      <t xml:space="preserve">.</t>
    </r>
  </si>
  <si>
    <t xml:space="preserve">플랫폼 환불 정책이 크몽보다 관대 → 환불률 관리 필요</t>
  </si>
  <si>
    <r>
      <rPr>
        <sz val="10"/>
        <rFont val="DejaVu Sans"/>
        <family val="2"/>
      </rPr>
      <t xml:space="preserve">첫 </t>
    </r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분 무료 미리보기 </t>
    </r>
    <r>
      <rPr>
        <sz val="10"/>
        <rFont val="맑은 고딕"/>
        <family val="0"/>
        <charset val="1"/>
      </rPr>
      <t xml:space="preserve">· </t>
    </r>
    <r>
      <rPr>
        <sz val="10"/>
        <rFont val="DejaVu Sans"/>
        <family val="2"/>
      </rPr>
      <t xml:space="preserve">명확한 학습 목표 명시 </t>
    </r>
    <r>
      <rPr>
        <sz val="10"/>
        <rFont val="맑은 고딕"/>
        <family val="0"/>
        <charset val="1"/>
      </rPr>
      <t xml:space="preserve">· "</t>
    </r>
    <r>
      <rPr>
        <sz val="10"/>
        <rFont val="DejaVu Sans"/>
        <family val="2"/>
      </rPr>
      <t xml:space="preserve">투자 권유 아님</t>
    </r>
    <r>
      <rPr>
        <sz val="10"/>
        <rFont val="맑은 고딕"/>
        <family val="0"/>
        <charset val="1"/>
      </rPr>
      <t xml:space="preserve">" </t>
    </r>
    <r>
      <rPr>
        <sz val="10"/>
        <rFont val="DejaVu Sans"/>
        <family val="2"/>
      </rPr>
      <t xml:space="preserve">강조</t>
    </r>
  </si>
  <si>
    <r>
      <rPr>
        <sz val="10"/>
        <rFont val="DejaVu Sans"/>
        <family val="2"/>
      </rPr>
      <t xml:space="preserve">자체 사이트 </t>
    </r>
    <r>
      <rPr>
        <sz val="10"/>
        <rFont val="맑은 고딕"/>
        <family val="0"/>
        <charset val="1"/>
      </rPr>
      <t xml:space="preserve">(Stripe·</t>
    </r>
    <r>
      <rPr>
        <sz val="10"/>
        <rFont val="DejaVu Sans"/>
        <family val="2"/>
      </rPr>
      <t xml:space="preserve">토스페이먼츠</t>
    </r>
    <r>
      <rPr>
        <sz val="10"/>
        <rFont val="맑은 고딕"/>
        <family val="0"/>
        <charset val="1"/>
      </rPr>
      <t xml:space="preserve">)</t>
    </r>
  </si>
  <si>
    <t xml:space="preserve">E · G</t>
  </si>
  <si>
    <r>
      <rPr>
        <sz val="10"/>
        <rFont val="맑은 고딕"/>
        <family val="0"/>
        <charset val="1"/>
      </rPr>
      <t xml:space="preserve">SEO </t>
    </r>
    <r>
      <rPr>
        <sz val="10"/>
        <rFont val="DejaVu Sans"/>
        <family val="2"/>
      </rPr>
      <t xml:space="preserve">블로그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강의 </t>
    </r>
    <r>
      <rPr>
        <sz val="10"/>
        <rFont val="맑은 고딕"/>
        <family val="0"/>
        <charset val="1"/>
      </rPr>
      <t xml:space="preserve">D </t>
    </r>
    <r>
      <rPr>
        <sz val="10"/>
        <rFont val="DejaVu Sans"/>
        <family val="2"/>
      </rPr>
      <t xml:space="preserve">리드를 자체 사이트로 유도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이메일 마케팅으로 </t>
    </r>
    <r>
      <rPr>
        <sz val="10"/>
        <rFont val="맑은 고딕"/>
        <family val="0"/>
        <charset val="1"/>
      </rPr>
      <t xml:space="preserve">LTV </t>
    </r>
    <r>
      <rPr>
        <sz val="10"/>
        <rFont val="DejaVu Sans"/>
        <family val="2"/>
      </rPr>
      <t xml:space="preserve">극대화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</si>
  <si>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Stripe </t>
    </r>
    <r>
      <rPr>
        <sz val="10"/>
        <rFont val="DejaVu Sans"/>
        <family val="2"/>
      </rPr>
      <t xml:space="preserve">수수료 약 </t>
    </r>
    <r>
      <rPr>
        <sz val="10"/>
        <rFont val="맑은 고딕"/>
        <family val="0"/>
        <charset val="1"/>
      </rPr>
      <t xml:space="preserve">3.4% (</t>
    </r>
    <r>
      <rPr>
        <sz val="10"/>
        <rFont val="DejaVu Sans"/>
        <family val="2"/>
      </rPr>
      <t xml:space="preserve">글로벌</t>
    </r>
    <r>
      <rPr>
        <sz val="10"/>
        <rFont val="맑은 고딕"/>
        <family val="0"/>
        <charset val="1"/>
      </rPr>
      <t xml:space="preserve">) / </t>
    </r>
    <r>
      <rPr>
        <sz val="10"/>
        <rFont val="DejaVu Sans"/>
        <family val="2"/>
      </rPr>
      <t xml:space="preserve">토스 </t>
    </r>
    <r>
      <rPr>
        <sz val="10"/>
        <rFont val="맑은 고딕"/>
        <family val="0"/>
        <charset val="1"/>
      </rPr>
      <t xml:space="preserve">2.9% (</t>
    </r>
    <r>
      <rPr>
        <sz val="10"/>
        <rFont val="DejaVu Sans"/>
        <family val="2"/>
      </rPr>
      <t xml:space="preserve">국내</t>
    </r>
    <r>
      <rPr>
        <sz val="10"/>
        <rFont val="맑은 고딕"/>
        <family val="0"/>
        <charset val="1"/>
      </rPr>
      <t xml:space="preserve">). </t>
    </r>
    <r>
      <rPr>
        <sz val="10"/>
        <rFont val="DejaVu Sans"/>
        <family val="2"/>
      </rPr>
      <t xml:space="preserve">정산 </t>
    </r>
    <r>
      <rPr>
        <sz val="10"/>
        <rFont val="맑은 고딕"/>
        <family val="0"/>
        <charset val="1"/>
      </rPr>
      <t xml:space="preserve">1~7</t>
    </r>
    <r>
      <rPr>
        <sz val="10"/>
        <rFont val="DejaVu Sans"/>
        <family val="2"/>
      </rPr>
      <t xml:space="preserve">일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</si>
  <si>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자체 채널이므로 모든 법적 책임 직접 부담 </t>
    </r>
    <r>
      <rPr>
        <sz val="10"/>
        <rFont val="맑은 고딕"/>
        <family val="0"/>
        <charset val="1"/>
      </rPr>
      <t xml:space="preserve">· </t>
    </r>
    <r>
      <rPr>
        <sz val="10"/>
        <rFont val="DejaVu Sans"/>
        <family val="2"/>
      </rPr>
      <t xml:space="preserve">결제 분쟁 시 </t>
    </r>
    <r>
      <rPr>
        <sz val="10"/>
        <rFont val="맑은 고딕"/>
        <family val="0"/>
        <charset val="1"/>
      </rPr>
      <t xml:space="preserve">PG</t>
    </r>
    <r>
      <rPr>
        <sz val="10"/>
        <rFont val="DejaVu Sans"/>
        <family val="2"/>
      </rPr>
      <t xml:space="preserve">사 청구역폭</t>
    </r>
    <r>
      <rPr>
        <sz val="10"/>
        <rFont val="맑은 고딕"/>
        <family val="0"/>
        <charset val="1"/>
      </rPr>
      <t xml:space="preserve">(Chargeback)</t>
    </r>
  </si>
  <si>
    <r>
      <rPr>
        <sz val="10"/>
        <rFont val="DejaVu Sans"/>
        <family val="2"/>
      </rPr>
      <t xml:space="preserve">면책 약관 결제 직전 명시 동의 </t>
    </r>
    <r>
      <rPr>
        <sz val="10"/>
        <rFont val="맑은 고딕"/>
        <family val="0"/>
        <charset val="1"/>
      </rPr>
      <t xml:space="preserve">· </t>
    </r>
    <r>
      <rPr>
        <sz val="10"/>
        <rFont val="DejaVu Sans"/>
        <family val="2"/>
      </rPr>
      <t xml:space="preserve">환불 정책 명확화 </t>
    </r>
    <r>
      <rPr>
        <sz val="10"/>
        <rFont val="맑은 고딕"/>
        <family val="0"/>
        <charset val="1"/>
      </rPr>
      <t xml:space="preserve">· Stripe</t>
    </r>
    <r>
      <rPr>
        <sz val="10"/>
        <rFont val="DejaVu Sans"/>
        <family val="2"/>
      </rPr>
      <t xml:space="preserve">로 글로벌 결제 시 한국법 분쟁 방어 폭 ↑</t>
    </r>
  </si>
  <si>
    <r>
      <rPr>
        <sz val="10"/>
        <rFont val="DejaVu Sans"/>
        <family val="2"/>
      </rPr>
      <t xml:space="preserve">디스코드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텔레그램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멤버십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</si>
  <si>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F (</t>
    </r>
    <r>
      <rPr>
        <sz val="10"/>
        <rFont val="DejaVu Sans"/>
        <family val="2"/>
      </rPr>
      <t xml:space="preserve">시그널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시황</t>
    </r>
    <r>
      <rPr>
        <sz val="10"/>
        <rFont val="맑은 고딕"/>
        <family val="0"/>
        <charset val="1"/>
      </rPr>
      <t xml:space="preserve">)</t>
    </r>
  </si>
  <si>
    <t xml:space="preserve">카카오톡 오픈채팅 → 디스코드 무료방 → 유료 등급으로 깔때기</t>
  </si>
  <si>
    <r>
      <rPr>
        <sz val="10"/>
        <rFont val="DejaVu Sans"/>
        <family val="2"/>
      </rPr>
      <t xml:space="preserve">자체 결제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봇 자동 권한 부여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예</t>
    </r>
    <r>
      <rPr>
        <sz val="10"/>
        <rFont val="맑은 고딕"/>
        <family val="0"/>
        <charset val="1"/>
      </rPr>
      <t xml:space="preserve">: Patreon, Stripe billing portal)</t>
    </r>
  </si>
  <si>
    <r>
      <rPr>
        <sz val="10"/>
        <rFont val="DejaVu Sans"/>
        <family val="2"/>
      </rPr>
      <t xml:space="preserve">시그널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매매 추천 → 사실상 유사투자자문업으로 해석될 위험 </t>
    </r>
    <r>
      <rPr>
        <sz val="10"/>
        <rFont val="맑은 고딕"/>
        <family val="0"/>
        <charset val="1"/>
      </rPr>
      <t xml:space="preserve">(★★★★)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</si>
  <si>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DejaVu Sans"/>
        <family val="2"/>
      </rPr>
      <t xml:space="preserve">시황 공유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교육 목적</t>
    </r>
    <r>
      <rPr>
        <sz val="10"/>
        <rFont val="맑은 고딕"/>
        <family val="0"/>
        <charset val="1"/>
      </rPr>
      <t xml:space="preserve">" </t>
    </r>
    <r>
      <rPr>
        <sz val="10"/>
        <rFont val="DejaVu Sans"/>
        <family val="2"/>
      </rPr>
      <t xml:space="preserve">명시 </t>
    </r>
    <r>
      <rPr>
        <sz val="10"/>
        <rFont val="맑은 고딕"/>
        <family val="0"/>
        <charset val="1"/>
      </rPr>
      <t xml:space="preserve">· </t>
    </r>
    <r>
      <rPr>
        <sz val="10"/>
        <rFont val="DejaVu Sans"/>
        <family val="2"/>
      </rPr>
      <t xml:space="preserve">종목 콕집기 금지 </t>
    </r>
    <r>
      <rPr>
        <sz val="10"/>
        <rFont val="맑은 고딕"/>
        <family val="0"/>
        <charset val="1"/>
      </rPr>
      <t xml:space="preserve">· </t>
    </r>
    <r>
      <rPr>
        <sz val="10"/>
        <rFont val="DejaVu Sans"/>
        <family val="2"/>
      </rPr>
      <t xml:space="preserve">면책 매일 공지 </t>
    </r>
    <r>
      <rPr>
        <sz val="10"/>
        <rFont val="맑은 고딕"/>
        <family val="0"/>
        <charset val="1"/>
      </rPr>
      <t xml:space="preserve">· </t>
    </r>
    <r>
      <rPr>
        <sz val="10"/>
        <rFont val="DejaVu Sans"/>
        <family val="2"/>
      </rPr>
      <t xml:space="preserve">수익률 후기 절대 게시 금지</t>
    </r>
  </si>
  <si>
    <t xml:space="preserve">GitHub·Gumroad·MQL5</t>
  </si>
  <si>
    <r>
      <rPr>
        <sz val="10"/>
        <rFont val="맑은 고딕"/>
        <family val="0"/>
        <charset val="1"/>
      </rPr>
      <t xml:space="preserve">A · E (</t>
    </r>
    <r>
      <rPr>
        <sz val="10"/>
        <rFont val="DejaVu Sans"/>
        <family val="2"/>
      </rPr>
      <t xml:space="preserve">글로벌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</si>
  <si>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오픈소스 일부 공개 → 상용 라이선스 유료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글로벌 개발자 대상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</si>
  <si>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플랫폼 자동 정산 </t>
    </r>
    <r>
      <rPr>
        <sz val="10"/>
        <rFont val="맑은 고딕"/>
        <family val="0"/>
        <charset val="1"/>
      </rPr>
      <t xml:space="preserve">(Gumroad 10%, MQL5 </t>
    </r>
    <r>
      <rPr>
        <sz val="10"/>
        <rFont val="DejaVu Sans"/>
        <family val="2"/>
      </rPr>
      <t xml:space="preserve">약 </t>
    </r>
    <r>
      <rPr>
        <sz val="10"/>
        <rFont val="맑은 고딕"/>
        <family val="0"/>
        <charset val="1"/>
      </rPr>
      <t xml:space="preserve">30%, GitHub Sponsors </t>
    </r>
    <r>
      <rPr>
        <sz val="10"/>
        <rFont val="DejaVu Sans"/>
        <family val="2"/>
      </rPr>
      <t xml:space="preserve">자유</t>
    </r>
    <r>
      <rPr>
        <sz val="10"/>
        <rFont val="맑은 고딕"/>
        <family val="0"/>
        <charset val="1"/>
      </rPr>
      <t xml:space="preserve">)</t>
    </r>
  </si>
  <si>
    <t xml:space="preserve">글로벌 사용자 → 거주국 법령 충돌 가능성</t>
  </si>
  <si>
    <r>
      <rPr>
        <sz val="10"/>
        <rFont val="DejaVu Sans"/>
        <family val="2"/>
      </rPr>
      <t xml:space="preserve">영문 면책 별도 </t>
    </r>
    <r>
      <rPr>
        <sz val="10"/>
        <rFont val="맑은 고딕"/>
        <family val="0"/>
        <charset val="1"/>
      </rPr>
      <t xml:space="preserve">· "</t>
    </r>
    <r>
      <rPr>
        <sz val="10"/>
        <rFont val="DejaVu Sans"/>
        <family val="2"/>
      </rPr>
      <t xml:space="preserve">본인 거주국 법령 확인</t>
    </r>
    <r>
      <rPr>
        <sz val="10"/>
        <rFont val="맑은 고딕"/>
        <family val="0"/>
        <charset val="1"/>
      </rPr>
      <t xml:space="preserve">" </t>
    </r>
    <r>
      <rPr>
        <sz val="10"/>
        <rFont val="DejaVu Sans"/>
        <family val="2"/>
      </rPr>
      <t xml:space="preserve">사용자 책임 명시</t>
    </r>
  </si>
  <si>
    <r>
      <rPr>
        <b val="true"/>
        <sz val="16"/>
        <rFont val="DejaVu Sans"/>
        <family val="2"/>
      </rPr>
      <t xml:space="preserve">월 매출</t>
    </r>
    <r>
      <rPr>
        <b val="true"/>
        <sz val="16"/>
        <rFont val="맑은 고딕"/>
        <family val="0"/>
        <charset val="1"/>
      </rPr>
      <t xml:space="preserve">·</t>
    </r>
    <r>
      <rPr>
        <b val="true"/>
        <sz val="16"/>
        <rFont val="DejaVu Sans"/>
        <family val="2"/>
      </rPr>
      <t xml:space="preserve">연 매출</t>
    </r>
    <r>
      <rPr>
        <b val="true"/>
        <sz val="16"/>
        <rFont val="맑은 고딕"/>
        <family val="0"/>
        <charset val="1"/>
      </rPr>
      <t xml:space="preserve">·</t>
    </r>
    <r>
      <rPr>
        <b val="true"/>
        <sz val="16"/>
        <rFont val="DejaVu Sans"/>
        <family val="2"/>
      </rPr>
      <t xml:space="preserve">연 영업이익 시뮬레이션</t>
    </r>
  </si>
  <si>
    <r>
      <rPr>
        <i val="true"/>
        <sz val="9"/>
        <color rgb="FF666666"/>
        <rFont val="DejaVu Sans"/>
        <family val="2"/>
      </rPr>
      <t xml:space="preserve">※ 이 수치는 </t>
    </r>
    <r>
      <rPr>
        <i val="true"/>
        <sz val="9"/>
        <color rgb="FF666666"/>
        <rFont val="맑은 고딕"/>
        <family val="0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달성 가능한 합리적 시나리오</t>
    </r>
    <r>
      <rPr>
        <i val="true"/>
        <sz val="9"/>
        <color rgb="FF666666"/>
        <rFont val="맑은 고딕"/>
        <family val="0"/>
        <charset val="1"/>
      </rPr>
      <t xml:space="preserve">"</t>
    </r>
    <r>
      <rPr>
        <i val="true"/>
        <sz val="9"/>
        <color rgb="FF666666"/>
        <rFont val="DejaVu Sans"/>
        <family val="2"/>
      </rPr>
      <t xml:space="preserve">이며</t>
    </r>
    <r>
      <rPr>
        <i val="true"/>
        <sz val="9"/>
        <color rgb="FF666666"/>
        <rFont val="맑은 고딕"/>
        <family val="0"/>
        <charset val="1"/>
      </rPr>
      <t xml:space="preserve">, </t>
    </r>
    <r>
      <rPr>
        <i val="true"/>
        <sz val="9"/>
        <color rgb="FF666666"/>
        <rFont val="DejaVu Sans"/>
        <family val="2"/>
      </rPr>
      <t xml:space="preserve">보장이 아님</t>
    </r>
    <r>
      <rPr>
        <i val="true"/>
        <sz val="9"/>
        <color rgb="FF666666"/>
        <rFont val="맑은 고딕"/>
        <family val="0"/>
        <charset val="1"/>
      </rPr>
      <t xml:space="preserve">. </t>
    </r>
    <r>
      <rPr>
        <i val="true"/>
        <sz val="9"/>
        <color rgb="FF666666"/>
        <rFont val="DejaVu Sans"/>
        <family val="2"/>
      </rPr>
      <t xml:space="preserve">실제 판매수는 마케팅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DejaVu Sans"/>
        <family val="2"/>
      </rPr>
      <t xml:space="preserve">운영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DejaVu Sans"/>
        <family val="2"/>
      </rPr>
      <t xml:space="preserve">시장 상황에 따라 변동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</si>
  <si>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DejaVu Sans"/>
        <family val="2"/>
      </rPr>
      <t xml:space="preserve">평균 단가</t>
    </r>
    <r>
      <rPr>
        <b val="true"/>
        <sz val="10"/>
        <color rgb="FFFFFFFF"/>
        <rFont val="맑은 고딕"/>
        <family val="0"/>
        <charset val="1"/>
      </rPr>
      <t xml:space="preserve">(Std </t>
    </r>
    <r>
      <rPr>
        <b val="true"/>
        <sz val="10"/>
        <color rgb="FFFFFFFF"/>
        <rFont val="DejaVu Sans"/>
        <family val="2"/>
      </rPr>
      <t xml:space="preserve">기준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</si>
  <si>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월 판매수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보수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</si>
  <si>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월 매출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보수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</si>
  <si>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연 매출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보수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</si>
  <si>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백테스트 도구</t>
  </si>
  <si>
    <r>
      <rPr>
        <sz val="10"/>
        <rFont val="맑은 고딕"/>
        <family val="0"/>
        <charset val="1"/>
      </rPr>
      <t xml:space="preserve">1:1 </t>
    </r>
    <r>
      <rPr>
        <sz val="10"/>
        <rFont val="DejaVu Sans"/>
        <family val="2"/>
      </rPr>
      <t xml:space="preserve">컨설팅</t>
    </r>
  </si>
  <si>
    <t xml:space="preserve">온라인 강의</t>
  </si>
  <si>
    <t xml:space="preserve">봇 라이선스</t>
  </si>
  <si>
    <r>
      <rPr>
        <sz val="10"/>
        <rFont val="DejaVu Sans"/>
        <family val="2"/>
      </rPr>
      <t xml:space="preserve">멤버십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구독</t>
    </r>
    <r>
      <rPr>
        <sz val="10"/>
        <rFont val="맑은 고딕"/>
        <family val="0"/>
        <charset val="1"/>
      </rPr>
      <t xml:space="preserve">)</t>
    </r>
  </si>
  <si>
    <t xml:space="preserve">그룹 프로그램</t>
  </si>
  <si>
    <r>
      <rPr>
        <b val="true"/>
        <sz val="11"/>
        <rFont val="DejaVu Sans"/>
        <family val="2"/>
      </rPr>
      <t xml:space="preserve">월</t>
    </r>
    <r>
      <rPr>
        <b val="true"/>
        <sz val="11"/>
        <rFont val="맑은 고딕"/>
        <family val="0"/>
        <charset val="1"/>
      </rPr>
      <t xml:space="preserve">/</t>
    </r>
    <r>
      <rPr>
        <b val="true"/>
        <sz val="11"/>
        <rFont val="DejaVu Sans"/>
        <family val="2"/>
      </rPr>
      <t xml:space="preserve">연 총합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보수 시나리오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</si>
  <si>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맑은 고딕"/>
        <family val="0"/>
        <charset val="1"/>
      </rPr>
      <t xml:space="preserve">[</t>
    </r>
    <r>
      <rPr>
        <b val="true"/>
        <sz val="11"/>
        <rFont val="DejaVu Sans"/>
        <family val="2"/>
      </rPr>
      <t xml:space="preserve">비용 가정</t>
    </r>
    <r>
      <rPr>
        <b val="true"/>
        <sz val="11"/>
        <rFont val="맑은 고딕"/>
        <family val="0"/>
        <charset val="1"/>
      </rPr>
      <t xml:space="preserve">]</t>
    </r>
  </si>
  <si>
    <t xml:space="preserve">플랫폼 수수료 평균</t>
  </si>
  <si>
    <r>
      <rPr>
        <i val="true"/>
        <sz val="9"/>
        <color rgb="FF666666"/>
        <rFont val="DejaVu Sans"/>
        <family val="2"/>
      </rPr>
      <t xml:space="preserve">크몽 </t>
    </r>
    <r>
      <rPr>
        <i val="true"/>
        <sz val="9"/>
        <color rgb="FF666666"/>
        <rFont val="맑은 고딕"/>
        <family val="0"/>
        <charset val="1"/>
      </rPr>
      <t xml:space="preserve">18% / </t>
    </r>
    <r>
      <rPr>
        <i val="true"/>
        <sz val="9"/>
        <color rgb="FF666666"/>
        <rFont val="DejaVu Sans"/>
        <family val="2"/>
      </rPr>
      <t xml:space="preserve">인프런 </t>
    </r>
    <r>
      <rPr>
        <i val="true"/>
        <sz val="9"/>
        <color rgb="FF666666"/>
        <rFont val="맑은 고딕"/>
        <family val="0"/>
        <charset val="1"/>
      </rPr>
      <t xml:space="preserve">50% </t>
    </r>
    <r>
      <rPr>
        <i val="true"/>
        <sz val="9"/>
        <color rgb="FF666666"/>
        <rFont val="DejaVu Sans"/>
        <family val="2"/>
      </rPr>
      <t xml:space="preserve">가중 평균 추정</t>
    </r>
  </si>
  <si>
    <t xml:space="preserve">결제 대행 수수료</t>
  </si>
  <si>
    <r>
      <rPr>
        <i val="true"/>
        <sz val="9"/>
        <color rgb="FF666666"/>
        <rFont val="맑은 고딕"/>
        <family val="0"/>
        <charset val="1"/>
      </rPr>
      <t xml:space="preserve">Stripe·</t>
    </r>
    <r>
      <rPr>
        <i val="true"/>
        <sz val="9"/>
        <color rgb="FF666666"/>
        <rFont val="DejaVu Sans"/>
        <family val="2"/>
      </rPr>
      <t xml:space="preserve">토스 평균</t>
    </r>
  </si>
  <si>
    <r>
      <rPr>
        <sz val="10"/>
        <rFont val="DejaVu Sans"/>
        <family val="2"/>
      </rPr>
      <t xml:space="preserve">인프라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서버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도구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월 고정</t>
    </r>
    <r>
      <rPr>
        <sz val="10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</si>
  <si>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DejaVu Sans"/>
        <family val="2"/>
      </rPr>
      <t xml:space="preserve">서버</t>
    </r>
    <r>
      <rPr>
        <i val="true"/>
        <sz val="9"/>
        <color rgb="FF666666"/>
        <rFont val="맑은 고딕"/>
        <family val="0"/>
        <charset val="1"/>
      </rPr>
      <t xml:space="preserve">·VPN·SaaS </t>
    </r>
    <r>
      <rPr>
        <i val="true"/>
        <sz val="9"/>
        <color rgb="FF666666"/>
        <rFont val="DejaVu Sans"/>
        <family val="2"/>
      </rPr>
      <t xml:space="preserve">도구 등</t>
    </r>
  </si>
  <si>
    <r>
      <rPr>
        <sz val="10"/>
        <rFont val="DejaVu Sans"/>
        <family val="2"/>
      </rPr>
      <t xml:space="preserve">마케팅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콘텐츠 외주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월</t>
    </r>
    <r>
      <rPr>
        <sz val="10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</si>
  <si>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DejaVu Sans"/>
        <family val="2"/>
      </rPr>
      <t xml:space="preserve">블로그</t>
    </r>
    <r>
      <rPr>
        <i val="true"/>
        <sz val="9"/>
        <color rgb="FF666666"/>
        <rFont val="맑은 고딕"/>
        <family val="0"/>
        <charset val="1"/>
      </rPr>
      <t xml:space="preserve">·SEO·</t>
    </r>
    <r>
      <rPr>
        <i val="true"/>
        <sz val="9"/>
        <color rgb="FF666666"/>
        <rFont val="DejaVu Sans"/>
        <family val="2"/>
      </rPr>
      <t xml:space="preserve">디자인 </t>
    </r>
    <r>
      <rPr>
        <i val="true"/>
        <sz val="9"/>
        <color rgb="FF666666"/>
        <rFont val="맑은 고딕"/>
        <family val="0"/>
        <charset val="1"/>
      </rPr>
      <t xml:space="preserve">(</t>
    </r>
    <r>
      <rPr>
        <i val="true"/>
        <sz val="9"/>
        <color rgb="FF666666"/>
        <rFont val="DejaVu Sans"/>
        <family val="2"/>
      </rPr>
      <t xml:space="preserve">보수</t>
    </r>
    <r>
      <rPr>
        <i val="true"/>
        <sz val="9"/>
        <color rgb="FF666666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</si>
  <si>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일회성 법무 검토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연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회</t>
    </r>
    <r>
      <rPr>
        <sz val="10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</si>
  <si>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DejaVu Sans"/>
        <family val="2"/>
      </rPr>
      <t xml:space="preserve">약관 검수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DejaVu Sans"/>
        <family val="2"/>
      </rPr>
      <t xml:space="preserve">면책 검토 변호사</t>
    </r>
  </si>
  <si>
    <r>
      <rPr>
        <b val="true"/>
        <sz val="11"/>
        <rFont val="맑은 고딕"/>
        <family val="0"/>
        <charset val="1"/>
      </rPr>
      <t xml:space="preserve">[</t>
    </r>
    <r>
      <rPr>
        <b val="true"/>
        <sz val="11"/>
        <rFont val="DejaVu Sans"/>
        <family val="2"/>
      </rPr>
      <t xml:space="preserve">연 영업이익 시뮬레이션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보수</t>
    </r>
    <r>
      <rPr>
        <b val="true"/>
        <sz val="11"/>
        <rFont val="맑은 고딕"/>
        <family val="0"/>
        <charset val="1"/>
      </rPr>
      <t xml:space="preserve">)]</t>
    </r>
  </si>
  <si>
    <t xml:space="preserve">연 총매출</t>
  </si>
  <si>
    <r>
      <rPr>
        <sz val="11"/>
        <color theme="1"/>
        <rFont val="Calibri"/>
        <family val="2"/>
        <charset val="1"/>
      </rPr>
      <t xml:space="preserve">(-) </t>
    </r>
    <r>
      <rPr>
        <sz val="11"/>
        <color theme="1"/>
        <rFont val="DejaVu Sans"/>
        <family val="2"/>
      </rPr>
      <t xml:space="preserve">플랫폼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결제 수수료</t>
    </r>
  </si>
  <si>
    <r>
      <rPr>
        <sz val="11"/>
        <color theme="1"/>
        <rFont val="Calibri"/>
        <family val="2"/>
        <charset val="1"/>
      </rPr>
      <t xml:space="preserve">(-) </t>
    </r>
    <r>
      <rPr>
        <sz val="11"/>
        <color theme="1"/>
        <rFont val="DejaVu Sans"/>
        <family val="2"/>
      </rPr>
      <t xml:space="preserve">인프라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마케팅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</si>
  <si>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(-) </t>
    </r>
    <r>
      <rPr>
        <sz val="11"/>
        <color theme="1"/>
        <rFont val="DejaVu Sans"/>
        <family val="2"/>
      </rPr>
      <t xml:space="preserve">법무 검토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연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</si>
  <si>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DejaVu Sans"/>
        <family val="2"/>
      </rPr>
      <t xml:space="preserve">연 영업이익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세전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</si>
  <si>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6"/>
        <rFont val="맑은 고딕"/>
        <family val="0"/>
        <charset val="1"/>
      </rPr>
      <t xml:space="preserve">90</t>
    </r>
    <r>
      <rPr>
        <b val="true"/>
        <sz val="16"/>
        <rFont val="DejaVu Sans"/>
        <family val="2"/>
      </rPr>
      <t xml:space="preserve">일 출시</t>
    </r>
    <r>
      <rPr>
        <b val="true"/>
        <sz val="16"/>
        <rFont val="맑은 고딕"/>
        <family val="0"/>
        <charset val="1"/>
      </rPr>
      <t xml:space="preserve">·</t>
    </r>
    <r>
      <rPr>
        <b val="true"/>
        <sz val="16"/>
        <rFont val="DejaVu Sans"/>
        <family val="2"/>
      </rPr>
      <t xml:space="preserve">운영 로드맵</t>
    </r>
  </si>
  <si>
    <t xml:space="preserve">주차</t>
  </si>
  <si>
    <t xml:space="preserve">단계</t>
  </si>
  <si>
    <t xml:space="preserve">주요 활동</t>
  </si>
  <si>
    <t xml:space="preserve">산출물</t>
  </si>
  <si>
    <r>
      <rPr>
        <b val="true"/>
        <sz val="10"/>
        <color rgb="FFFFFFFF"/>
        <rFont val="DejaVu Sans"/>
        <family val="2"/>
      </rPr>
      <t xml:space="preserve">리스크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체크</t>
    </r>
  </si>
  <si>
    <r>
      <rPr>
        <sz val="10"/>
        <rFont val="맑은 고딕"/>
        <family val="0"/>
        <charset val="1"/>
      </rPr>
      <t xml:space="preserve">1~2</t>
    </r>
    <r>
      <rPr>
        <sz val="10"/>
        <rFont val="DejaVu Sans"/>
        <family val="2"/>
      </rPr>
      <t xml:space="preserve">주</t>
    </r>
  </si>
  <si>
    <r>
      <rPr>
        <sz val="10"/>
        <rFont val="DejaVu Sans"/>
        <family val="2"/>
      </rPr>
      <t xml:space="preserve">법무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약관 정비</t>
    </r>
  </si>
  <si>
    <r>
      <rPr>
        <sz val="10"/>
        <rFont val="DejaVu Sans"/>
        <family val="2"/>
      </rPr>
      <t xml:space="preserve">본 약관 초안 변호사 검수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회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환불 정책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결제 동의 체크박스 확정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</si>
  <si>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확정 약관 </t>
    </r>
    <r>
      <rPr>
        <sz val="10"/>
        <rFont val="맑은 고딕"/>
        <family val="0"/>
        <charset val="1"/>
      </rPr>
      <t xml:space="preserve">ver1.0, </t>
    </r>
    <r>
      <rPr>
        <sz val="10"/>
        <rFont val="DejaVu Sans"/>
        <family val="2"/>
      </rPr>
      <t xml:space="preserve">변호사 자문 의견서</t>
    </r>
  </si>
  <si>
    <t xml:space="preserve">약관 검토 없이 출시 시 분쟁 시 패소 위험 ↑</t>
  </si>
  <si>
    <r>
      <rPr>
        <sz val="10"/>
        <rFont val="맑은 고딕"/>
        <family val="0"/>
        <charset val="1"/>
      </rPr>
      <t xml:space="preserve">3~4</t>
    </r>
    <r>
      <rPr>
        <sz val="10"/>
        <rFont val="DejaVu Sans"/>
        <family val="2"/>
      </rPr>
      <t xml:space="preserve">주</t>
    </r>
  </si>
  <si>
    <r>
      <rPr>
        <sz val="10"/>
        <rFont val="DejaVu Sans"/>
        <family val="2"/>
      </rPr>
      <t xml:space="preserve">크몽 등록 준비 </t>
    </r>
    <r>
      <rPr>
        <sz val="10"/>
        <rFont val="맑은 고딕"/>
        <family val="0"/>
        <charset val="1"/>
      </rPr>
      <t xml:space="preserve">(A·B·C)</t>
    </r>
  </si>
  <si>
    <r>
      <rPr>
        <sz val="10"/>
        <rFont val="DejaVu Sans"/>
        <family val="2"/>
      </rPr>
      <t xml:space="preserve">본 카피 문서 → 크몽 상품 페이지로 옮김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미리보기 이미지 디자인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옵션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가격 확정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</si>
  <si>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크몽 상품 페이지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개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도구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외주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컨설팅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</si>
  <si>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"</t>
    </r>
    <r>
      <rPr>
        <sz val="10"/>
        <rFont val="DejaVu Sans"/>
        <family val="2"/>
      </rPr>
      <t xml:space="preserve">수익률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보장</t>
    </r>
    <r>
      <rPr>
        <sz val="10"/>
        <rFont val="맑은 고딕"/>
        <family val="0"/>
        <charset val="1"/>
      </rPr>
      <t xml:space="preserve">" </t>
    </r>
    <r>
      <rPr>
        <sz val="10"/>
        <rFont val="DejaVu Sans"/>
        <family val="2"/>
      </rPr>
      <t xml:space="preserve">표현 검색 → </t>
    </r>
    <r>
      <rPr>
        <sz val="10"/>
        <rFont val="맑은 고딕"/>
        <family val="0"/>
        <charset val="1"/>
      </rPr>
      <t xml:space="preserve">0</t>
    </r>
    <r>
      <rPr>
        <sz val="10"/>
        <rFont val="DejaVu Sans"/>
        <family val="2"/>
      </rPr>
      <t xml:space="preserve">개 확인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카테고리 거절 시 </t>
    </r>
    <r>
      <rPr>
        <sz val="10"/>
        <rFont val="맑은 고딕"/>
        <family val="0"/>
        <charset val="1"/>
      </rPr>
      <t xml:space="preserve">IT </t>
    </r>
    <r>
      <rPr>
        <sz val="10"/>
        <rFont val="DejaVu Sans"/>
        <family val="2"/>
      </rPr>
      <t xml:space="preserve">카테고리 재시도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</si>
  <si>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5~6</t>
    </r>
    <r>
      <rPr>
        <sz val="10"/>
        <rFont val="DejaVu Sans"/>
        <family val="2"/>
      </rPr>
      <t xml:space="preserve">주</t>
    </r>
  </si>
  <si>
    <r>
      <rPr>
        <sz val="10"/>
        <rFont val="DejaVu Sans"/>
        <family val="2"/>
      </rPr>
      <t xml:space="preserve">강의 </t>
    </r>
    <r>
      <rPr>
        <sz val="10"/>
        <rFont val="맑은 고딕"/>
        <family val="0"/>
        <charset val="1"/>
      </rPr>
      <t xml:space="preserve">D </t>
    </r>
    <r>
      <rPr>
        <sz val="10"/>
        <rFont val="DejaVu Sans"/>
        <family val="2"/>
      </rPr>
      <t xml:space="preserve">제작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인프런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</si>
  <si>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8</t>
    </r>
    <r>
      <rPr>
        <sz val="10"/>
        <rFont val="DejaVu Sans"/>
        <family val="2"/>
      </rPr>
      <t xml:space="preserve">주 컨설팅 </t>
    </r>
    <r>
      <rPr>
        <sz val="10"/>
        <rFont val="맑은 고딕"/>
        <family val="0"/>
        <charset val="1"/>
      </rPr>
      <t xml:space="preserve">C </t>
    </r>
    <r>
      <rPr>
        <sz val="10"/>
        <rFont val="DejaVu Sans"/>
        <family val="2"/>
      </rPr>
      <t xml:space="preserve">커리큘럼을 강의로 압축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최소 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시간 분량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첫 </t>
    </r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분 무료 미리보기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</si>
  <si>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강의 </t>
    </r>
    <r>
      <rPr>
        <sz val="10"/>
        <rFont val="맑은 고딕"/>
        <family val="0"/>
        <charset val="1"/>
      </rPr>
      <t xml:space="preserve">4</t>
    </r>
    <r>
      <rPr>
        <sz val="10"/>
        <rFont val="DejaVu Sans"/>
        <family val="2"/>
      </rPr>
      <t xml:space="preserve">시간 분량 영상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강의 페이지</t>
    </r>
  </si>
  <si>
    <r>
      <rPr>
        <sz val="10"/>
        <rFont val="DejaVu Sans"/>
        <family val="2"/>
      </rPr>
      <t xml:space="preserve">인프런 심사 기간 약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주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환불률 관리 필요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</si>
  <si>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7~8</t>
    </r>
    <r>
      <rPr>
        <sz val="10"/>
        <rFont val="DejaVu Sans"/>
        <family val="2"/>
      </rPr>
      <t xml:space="preserve">주</t>
    </r>
  </si>
  <si>
    <r>
      <rPr>
        <sz val="10"/>
        <rFont val="DejaVu Sans"/>
        <family val="2"/>
      </rPr>
      <t xml:space="preserve">자체 사이트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결제</t>
    </r>
  </si>
  <si>
    <r>
      <rPr>
        <sz val="10"/>
        <rFont val="DejaVu Sans"/>
        <family val="2"/>
      </rPr>
      <t xml:space="preserve">랜딩페이지 </t>
    </r>
    <r>
      <rPr>
        <sz val="10"/>
        <rFont val="맑은 고딕"/>
        <family val="0"/>
        <charset val="1"/>
      </rPr>
      <t xml:space="preserve">+ Stripe/</t>
    </r>
    <r>
      <rPr>
        <sz val="10"/>
        <rFont val="DejaVu Sans"/>
        <family val="2"/>
      </rPr>
      <t xml:space="preserve">토스 결제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면책 동의 체크박스</t>
    </r>
    <r>
      <rPr>
        <sz val="10"/>
        <rFont val="맑은 고딕"/>
        <family val="0"/>
        <charset val="1"/>
      </rPr>
      <t xml:space="preserve">. SEO </t>
    </r>
    <r>
      <rPr>
        <sz val="10"/>
        <rFont val="DejaVu Sans"/>
        <family val="2"/>
      </rPr>
      <t xml:space="preserve">블로그 </t>
    </r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건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</si>
  <si>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자체 사이트 </t>
    </r>
    <r>
      <rPr>
        <sz val="10"/>
        <rFont val="맑은 고딕"/>
        <family val="0"/>
        <charset val="1"/>
      </rPr>
      <t xml:space="preserve">ver1.0, </t>
    </r>
    <r>
      <rPr>
        <sz val="10"/>
        <rFont val="DejaVu Sans"/>
        <family val="2"/>
      </rPr>
      <t xml:space="preserve">블로그 </t>
    </r>
    <r>
      <rPr>
        <sz val="10"/>
        <rFont val="맑은 고딕"/>
        <family val="0"/>
        <charset val="1"/>
      </rPr>
      <t xml:space="preserve">5</t>
    </r>
    <r>
      <rPr>
        <sz val="10"/>
        <rFont val="DejaVu Sans"/>
        <family val="2"/>
      </rPr>
      <t xml:space="preserve">건</t>
    </r>
  </si>
  <si>
    <r>
      <rPr>
        <sz val="10"/>
        <rFont val="맑은 고딕"/>
        <family val="0"/>
        <charset val="1"/>
      </rPr>
      <t xml:space="preserve">PG </t>
    </r>
    <r>
      <rPr>
        <sz val="10"/>
        <rFont val="DejaVu Sans"/>
        <family val="2"/>
      </rPr>
      <t xml:space="preserve">심사 통과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가상자산 관련 업종 거절 가능성</t>
    </r>
    <r>
      <rPr>
        <sz val="10"/>
        <rFont val="맑은 고딕"/>
        <family val="0"/>
        <charset val="1"/>
      </rPr>
      <t xml:space="preserve">). </t>
    </r>
    <r>
      <rPr>
        <sz val="10"/>
        <rFont val="DejaVu Sans"/>
        <family val="2"/>
      </rPr>
      <t xml:space="preserve">사이트는 </t>
    </r>
    <r>
      <rPr>
        <sz val="10"/>
        <rFont val="맑은 고딕"/>
        <family val="0"/>
        <charset val="1"/>
      </rPr>
      <t xml:space="preserve">"</t>
    </r>
    <r>
      <rPr>
        <sz val="10"/>
        <rFont val="DejaVu Sans"/>
        <family val="2"/>
      </rPr>
      <t xml:space="preserve">교육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도구</t>
    </r>
    <r>
      <rPr>
        <sz val="10"/>
        <rFont val="맑은 고딕"/>
        <family val="0"/>
        <charset val="1"/>
      </rPr>
      <t xml:space="preserve">" </t>
    </r>
    <r>
      <rPr>
        <sz val="10"/>
        <rFont val="DejaVu Sans"/>
        <family val="2"/>
      </rPr>
      <t xml:space="preserve">포지션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</si>
  <si>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9~10</t>
    </r>
    <r>
      <rPr>
        <sz val="10"/>
        <rFont val="DejaVu Sans"/>
        <family val="2"/>
      </rPr>
      <t xml:space="preserve">주</t>
    </r>
  </si>
  <si>
    <r>
      <rPr>
        <sz val="10"/>
        <rFont val="DejaVu Sans"/>
        <family val="2"/>
      </rPr>
      <t xml:space="preserve">커뮤니티 </t>
    </r>
    <r>
      <rPr>
        <sz val="10"/>
        <rFont val="맑은 고딕"/>
        <family val="0"/>
        <charset val="1"/>
      </rPr>
      <t xml:space="preserve">F </t>
    </r>
    <r>
      <rPr>
        <sz val="10"/>
        <rFont val="DejaVu Sans"/>
        <family val="2"/>
      </rPr>
      <t xml:space="preserve">베타</t>
    </r>
  </si>
  <si>
    <r>
      <rPr>
        <sz val="10"/>
        <rFont val="DejaVu Sans"/>
        <family val="2"/>
      </rPr>
      <t xml:space="preserve">디스코드 무료방 → 유료 멤버십 베타 모집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초기 </t>
    </r>
    <r>
      <rPr>
        <sz val="10"/>
        <rFont val="맑은 고딕"/>
        <family val="0"/>
        <charset val="1"/>
      </rPr>
      <t xml:space="preserve">30</t>
    </r>
    <r>
      <rPr>
        <sz val="10"/>
        <rFont val="DejaVu Sans"/>
        <family val="2"/>
      </rPr>
      <t xml:space="preserve">명 한정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</si>
  <si>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디스코드 서버</t>
    </r>
    <r>
      <rPr>
        <sz val="10"/>
        <rFont val="맑은 고딕"/>
        <family val="0"/>
        <charset val="1"/>
      </rPr>
      <t xml:space="preserve">, 30</t>
    </r>
    <r>
      <rPr>
        <sz val="10"/>
        <rFont val="DejaVu Sans"/>
        <family val="2"/>
      </rPr>
      <t xml:space="preserve">명 베타 사용자</t>
    </r>
  </si>
  <si>
    <r>
      <rPr>
        <sz val="10"/>
        <rFont val="DejaVu Sans"/>
        <family val="2"/>
      </rPr>
      <t xml:space="preserve">시그널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매매 추천 절대 금지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매일 면책 공지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후기에 수익 게시 즉시 삭제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</si>
  <si>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11~12</t>
    </r>
    <r>
      <rPr>
        <sz val="10"/>
        <rFont val="DejaVu Sans"/>
        <family val="2"/>
      </rPr>
      <t xml:space="preserve">주</t>
    </r>
  </si>
  <si>
    <r>
      <rPr>
        <sz val="10"/>
        <rFont val="DejaVu Sans"/>
        <family val="2"/>
      </rPr>
      <t xml:space="preserve">데이터 검토</t>
    </r>
    <r>
      <rPr>
        <sz val="10"/>
        <rFont val="맑은 고딕"/>
        <family val="0"/>
        <charset val="1"/>
      </rPr>
      <t xml:space="preserve">·1</t>
    </r>
    <r>
      <rPr>
        <sz val="10"/>
        <rFont val="DejaVu Sans"/>
        <family val="2"/>
      </rPr>
      <t xml:space="preserve">차 결산</t>
    </r>
  </si>
  <si>
    <r>
      <rPr>
        <sz val="10"/>
        <rFont val="DejaVu Sans"/>
        <family val="2"/>
      </rPr>
      <t xml:space="preserve">판매 데이터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환불률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문의 패턴 분석</t>
    </r>
    <r>
      <rPr>
        <sz val="10"/>
        <rFont val="맑은 고딕"/>
        <family val="0"/>
        <charset val="1"/>
      </rPr>
      <t xml:space="preserve">. </t>
    </r>
    <r>
      <rPr>
        <sz val="10"/>
        <rFont val="DejaVu Sans"/>
        <family val="2"/>
      </rPr>
      <t xml:space="preserve">카피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가격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차 수정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</si>
  <si>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운영 데이터 보고서 </t>
    </r>
    <r>
      <rPr>
        <sz val="10"/>
        <rFont val="맑은 고딕"/>
        <family val="0"/>
        <charset val="1"/>
      </rPr>
      <t xml:space="preserve">ver1.0</t>
    </r>
  </si>
  <si>
    <r>
      <rPr>
        <sz val="10"/>
        <rFont val="DejaVu Sans"/>
        <family val="2"/>
      </rPr>
      <t xml:space="preserve">환불률 </t>
    </r>
    <r>
      <rPr>
        <sz val="10"/>
        <rFont val="맑은 고딕"/>
        <family val="0"/>
        <charset val="1"/>
      </rPr>
      <t xml:space="preserve">5% </t>
    </r>
    <r>
      <rPr>
        <sz val="10"/>
        <rFont val="DejaVu Sans"/>
        <family val="2"/>
      </rPr>
      <t xml:space="preserve">초과 시 환불 사유 클러스터링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</si>
  <si>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맑은 고딕"/>
        <family val="0"/>
        <charset val="1"/>
      </rPr>
      <t xml:space="preserve">13</t>
    </r>
    <r>
      <rPr>
        <sz val="10"/>
        <rFont val="DejaVu Sans"/>
        <family val="2"/>
      </rPr>
      <t xml:space="preserve">주 이후</t>
    </r>
  </si>
  <si>
    <r>
      <rPr>
        <sz val="10"/>
        <rFont val="DejaVu Sans"/>
        <family val="2"/>
      </rPr>
      <t xml:space="preserve">코호트 그룹 </t>
    </r>
    <r>
      <rPr>
        <sz val="10"/>
        <rFont val="맑은 고딕"/>
        <family val="0"/>
        <charset val="1"/>
      </rPr>
      <t xml:space="preserve">G </t>
    </r>
    <r>
      <rPr>
        <sz val="10"/>
        <rFont val="DejaVu Sans"/>
        <family val="2"/>
      </rPr>
      <t xml:space="preserve">첫 모집</t>
    </r>
  </si>
  <si>
    <r>
      <rPr>
        <sz val="10"/>
        <rFont val="DejaVu Sans"/>
        <family val="2"/>
      </rPr>
      <t xml:space="preserve">졸업생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강의 </t>
    </r>
    <r>
      <rPr>
        <sz val="10"/>
        <rFont val="맑은 고딕"/>
        <family val="0"/>
        <charset val="1"/>
      </rPr>
      <t xml:space="preserve">D </t>
    </r>
    <r>
      <rPr>
        <sz val="10"/>
        <rFont val="DejaVu Sans"/>
        <family val="2"/>
      </rPr>
      <t xml:space="preserve">수강생 중 우수자 대상 그룹 프로그램 모집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</si>
  <si>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코호트 </t>
    </r>
    <r>
      <rPr>
        <sz val="10"/>
        <rFont val="맑은 고딕"/>
        <family val="0"/>
        <charset val="1"/>
      </rPr>
      <t xml:space="preserve">ver1.0 (10</t>
    </r>
    <r>
      <rPr>
        <sz val="10"/>
        <rFont val="DejaVu Sans"/>
        <family val="2"/>
      </rPr>
      <t xml:space="preserve">명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</si>
  <si>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그룹 가격이 높을수록 결제 후 환불 분쟁 多 → 사전 인터뷰 필수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</si>
  <si>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6"/>
        <rFont val="맑은 고딕"/>
        <family val="0"/>
        <charset val="1"/>
      </rPr>
      <t xml:space="preserve">KPI </t>
    </r>
    <r>
      <rPr>
        <b val="true"/>
        <sz val="16"/>
        <rFont val="DejaVu Sans"/>
        <family val="2"/>
      </rPr>
      <t xml:space="preserve">트래커 </t>
    </r>
    <r>
      <rPr>
        <b val="true"/>
        <sz val="16"/>
        <rFont val="맑은 고딕"/>
        <family val="0"/>
        <charset val="1"/>
      </rPr>
      <t xml:space="preserve">(</t>
    </r>
    <r>
      <rPr>
        <b val="true"/>
        <sz val="16"/>
        <rFont val="DejaVu Sans"/>
        <family val="2"/>
      </rPr>
      <t xml:space="preserve">월별</t>
    </r>
    <r>
      <rPr>
        <b val="true"/>
        <sz val="16"/>
        <rFont val="맑은 고딕"/>
        <family val="0"/>
        <charset val="1"/>
      </rPr>
      <t xml:space="preserve">)</t>
    </r>
  </si>
  <si>
    <r>
      <rPr>
        <i val="true"/>
        <sz val="9"/>
        <color rgb="FF666666"/>
        <rFont val="DejaVu Sans"/>
        <family val="2"/>
      </rPr>
      <t xml:space="preserve">각 </t>
    </r>
    <r>
      <rPr>
        <i val="true"/>
        <sz val="9"/>
        <color rgb="FF666666"/>
        <rFont val="맑은 고딕"/>
        <family val="0"/>
        <charset val="1"/>
      </rPr>
      <t xml:space="preserve">SKU</t>
    </r>
    <r>
      <rPr>
        <i val="true"/>
        <sz val="9"/>
        <color rgb="FF666666"/>
        <rFont val="DejaVu Sans"/>
        <family val="2"/>
      </rPr>
      <t xml:space="preserve">의 월별 실제 판매수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DejaVu Sans"/>
        <family val="2"/>
      </rPr>
      <t xml:space="preserve">매출</t>
    </r>
    <r>
      <rPr>
        <i val="true"/>
        <sz val="9"/>
        <color rgb="FF666666"/>
        <rFont val="맑은 고딕"/>
        <family val="0"/>
        <charset val="1"/>
      </rPr>
      <t xml:space="preserve">·</t>
    </r>
    <r>
      <rPr>
        <i val="true"/>
        <sz val="9"/>
        <color rgb="FF666666"/>
        <rFont val="DejaVu Sans"/>
        <family val="2"/>
      </rPr>
      <t xml:space="preserve">환불을 입력하면 자동 합산됩니다</t>
    </r>
    <r>
      <rPr>
        <i val="true"/>
        <sz val="9"/>
        <color rgb="FF666666"/>
        <rFont val="맑은 고딕"/>
        <family val="0"/>
        <charset val="1"/>
      </rPr>
      <t xml:space="preserve">.</t>
    </r>
  </si>
  <si>
    <r>
      <rPr>
        <b val="true"/>
        <sz val="11"/>
        <rFont val="맑은 고딕"/>
        <family val="0"/>
        <charset val="1"/>
      </rPr>
      <t xml:space="preserve">[</t>
    </r>
    <r>
      <rPr>
        <b val="true"/>
        <sz val="11"/>
        <rFont val="DejaVu Sans"/>
        <family val="2"/>
      </rPr>
      <t xml:space="preserve">판매수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개</t>
    </r>
    <r>
      <rPr>
        <b val="true"/>
        <sz val="11"/>
        <rFont val="맑은 고딕"/>
        <family val="0"/>
        <charset val="1"/>
      </rPr>
      <t xml:space="preserve">)]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</si>
  <si>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</si>
  <si>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</si>
  <si>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3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</si>
  <si>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4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</si>
  <si>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5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</si>
  <si>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6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</si>
  <si>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7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</si>
  <si>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8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</si>
  <si>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9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</si>
  <si>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10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</si>
  <si>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11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</si>
  <si>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12</t>
    </r>
    <r>
      <rPr>
        <b val="true"/>
        <sz val="10"/>
        <color rgb="FFFFFFFF"/>
        <rFont val="DejaVu Sans"/>
        <family val="2"/>
      </rPr>
      <t xml:space="preserve">월</t>
    </r>
  </si>
  <si>
    <r>
      <rPr>
        <b val="true"/>
        <sz val="11"/>
        <rFont val="맑은 고딕"/>
        <family val="0"/>
        <charset val="1"/>
      </rPr>
      <t xml:space="preserve">[</t>
    </r>
    <r>
      <rPr>
        <b val="true"/>
        <sz val="11"/>
        <rFont val="DejaVu Sans"/>
        <family val="2"/>
      </rPr>
      <t xml:space="preserve">매출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)]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</si>
</sst>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\원"/>
    <numFmt numFmtId="166" formatCode="0.0%"/>
    <numFmt numFmtId="167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맑은 고딕"/>
      <family val="0"/>
      <charset val="1"/>
    </font>
    <font>
      <b val="true"/>
      <sz val="16"/>
      <name val="DejaVu Sans"/>
      <family val="2"/>
    </font>
    <font>
      <i val="true"/>
      <sz val="9"/>
      <color rgb="FF666666"/>
      <name val="맑은 고딕"/>
      <family val="0"/>
      <charset val="1"/>
    </font>
    <font>
      <i val="true"/>
      <sz val="9"/>
      <color rgb="FF666666"/>
      <name val="DejaVu Sans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DejaVu Sans"/>
      <family val="2"/>
    </font>
    <font>
      <b val="true"/>
      <sz val="11"/>
      <name val="맑은 고딕"/>
      <family val="0"/>
      <charset val="1"/>
    </font>
    <font>
      <sz val="10"/>
      <name val="DejaVu Sans"/>
      <family val="2"/>
    </font>
    <font>
      <sz val="10"/>
      <name val="맑은 고딕"/>
      <family val="0"/>
      <charset val="1"/>
    </font>
    <font>
      <b val="true"/>
      <sz val="11"/>
      <name val="DejaVu Sans"/>
      <family val="2"/>
    </font>
    <font>
      <b val="true"/>
      <sz val="10"/>
      <name val="맑은 고딕"/>
      <family val="0"/>
      <charset val="1"/>
    </font>
    <font>
      <b val="true"/>
      <sz val="10"/>
      <name val="DejaVu Sans"/>
      <family val="2"/>
    </font>
    <font>
      <sz val="11"/>
      <color theme="1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8" min="5" style="0" width="14"/>
    <col collapsed="false" customWidth="true" hidden="false" outlineLevel="0" max="10" min="9" style="0" width="11"/>
    <col collapsed="false" customWidth="true" hidden="false" outlineLevel="0" max="11" min="11" style="0" width="16"/>
    <col collapsed="false" customWidth="true" hidden="false" outlineLevel="0" max="12" min="12" style="0" width="38"/>
    <col collapsed="false" customWidth="true" hidden="false" outlineLevel="0" max="13" min="13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49.5" hidden="false" customHeight="true" outlineLevel="0" collapsed="false">
      <c r="A5" s="5" t="s">
        <v>15</v>
      </c>
      <c r="B5" s="6" t="s">
        <v>16</v>
      </c>
      <c r="C5" s="6" t="s">
        <v>17</v>
      </c>
      <c r="D5" s="7" t="s">
        <v>18</v>
      </c>
      <c r="E5" s="7" t="s">
        <v>19</v>
      </c>
      <c r="F5" s="8" t="n">
        <v>99000</v>
      </c>
      <c r="G5" s="8" t="n">
        <v>290000</v>
      </c>
      <c r="H5" s="8" t="n">
        <v>590000</v>
      </c>
      <c r="I5" s="9" t="n">
        <v>0.92</v>
      </c>
      <c r="J5" s="10" t="n">
        <v>8</v>
      </c>
      <c r="K5" s="8" t="n">
        <f aca="false">G5*J5</f>
        <v>2320000</v>
      </c>
      <c r="L5" s="6" t="s">
        <v>20</v>
      </c>
      <c r="M5" s="6" t="s">
        <v>21</v>
      </c>
    </row>
    <row r="6" customFormat="false" ht="49.5" hidden="false" customHeight="true" outlineLevel="0" collapsed="false">
      <c r="A6" s="5" t="s">
        <v>22</v>
      </c>
      <c r="B6" s="11" t="s">
        <v>23</v>
      </c>
      <c r="C6" s="6" t="s">
        <v>24</v>
      </c>
      <c r="D6" s="7" t="s">
        <v>18</v>
      </c>
      <c r="E6" s="7" t="s">
        <v>19</v>
      </c>
      <c r="F6" s="8" t="n">
        <v>1500000</v>
      </c>
      <c r="G6" s="8" t="n">
        <v>3500000</v>
      </c>
      <c r="H6" s="8" t="n">
        <v>6500000</v>
      </c>
      <c r="I6" s="9" t="n">
        <v>0.55</v>
      </c>
      <c r="J6" s="10" t="n">
        <v>2</v>
      </c>
      <c r="K6" s="8" t="n">
        <f aca="false">G6*J6</f>
        <v>7000000</v>
      </c>
      <c r="L6" s="6" t="s">
        <v>25</v>
      </c>
      <c r="M6" s="6" t="s">
        <v>26</v>
      </c>
    </row>
    <row r="7" customFormat="false" ht="49.5" hidden="false" customHeight="true" outlineLevel="0" collapsed="false">
      <c r="A7" s="5" t="s">
        <v>27</v>
      </c>
      <c r="B7" s="6" t="s">
        <v>28</v>
      </c>
      <c r="C7" s="6" t="s">
        <v>29</v>
      </c>
      <c r="D7" s="7" t="s">
        <v>18</v>
      </c>
      <c r="E7" s="7" t="s">
        <v>30</v>
      </c>
      <c r="F7" s="8" t="n">
        <v>990000</v>
      </c>
      <c r="G7" s="8" t="n">
        <v>1800000</v>
      </c>
      <c r="H7" s="8" t="n">
        <v>2800000</v>
      </c>
      <c r="I7" s="9" t="n">
        <v>0.85</v>
      </c>
      <c r="J7" s="10" t="n">
        <v>3</v>
      </c>
      <c r="K7" s="8" t="n">
        <f aca="false">G7*J7</f>
        <v>5400000</v>
      </c>
      <c r="L7" s="11" t="s">
        <v>31</v>
      </c>
      <c r="M7" s="6" t="s">
        <v>32</v>
      </c>
    </row>
    <row r="8" customFormat="false" ht="49.5" hidden="false" customHeight="true" outlineLevel="0" collapsed="false">
      <c r="A8" s="12" t="s">
        <v>33</v>
      </c>
      <c r="B8" s="13" t="s">
        <v>34</v>
      </c>
      <c r="C8" s="13" t="s">
        <v>35</v>
      </c>
      <c r="D8" s="14" t="s">
        <v>36</v>
      </c>
      <c r="E8" s="14" t="s">
        <v>19</v>
      </c>
      <c r="F8" s="15" t="n">
        <v>199000</v>
      </c>
      <c r="G8" s="15" t="n">
        <v>449000</v>
      </c>
      <c r="H8" s="15" t="n">
        <v>690000</v>
      </c>
      <c r="I8" s="16" t="n">
        <v>0.7</v>
      </c>
      <c r="J8" s="17" t="n">
        <v>25</v>
      </c>
      <c r="K8" s="15" t="n">
        <f aca="false">G8*J8</f>
        <v>11225000</v>
      </c>
      <c r="L8" s="13" t="s">
        <v>37</v>
      </c>
      <c r="M8" s="13" t="s">
        <v>38</v>
      </c>
    </row>
    <row r="9" customFormat="false" ht="49.5" hidden="false" customHeight="true" outlineLevel="0" collapsed="false">
      <c r="A9" s="18" t="s">
        <v>39</v>
      </c>
      <c r="B9" s="19" t="s">
        <v>40</v>
      </c>
      <c r="C9" s="20" t="s">
        <v>41</v>
      </c>
      <c r="D9" s="21" t="s">
        <v>42</v>
      </c>
      <c r="E9" s="21" t="s">
        <v>43</v>
      </c>
      <c r="F9" s="22" t="n">
        <v>290000</v>
      </c>
      <c r="G9" s="22" t="n">
        <v>990000</v>
      </c>
      <c r="H9" s="22" t="n">
        <v>2400000</v>
      </c>
      <c r="I9" s="23" t="n">
        <v>0.88</v>
      </c>
      <c r="J9" s="24" t="n">
        <v>4</v>
      </c>
      <c r="K9" s="22" t="n">
        <f aca="false">G9*J9</f>
        <v>3960000</v>
      </c>
      <c r="L9" s="20" t="s">
        <v>44</v>
      </c>
      <c r="M9" s="20" t="s">
        <v>45</v>
      </c>
    </row>
    <row r="10" customFormat="false" ht="49.5" hidden="false" customHeight="true" outlineLevel="0" collapsed="false">
      <c r="A10" s="18" t="s">
        <v>46</v>
      </c>
      <c r="B10" s="20" t="s">
        <v>47</v>
      </c>
      <c r="C10" s="20" t="s">
        <v>48</v>
      </c>
      <c r="D10" s="21" t="s">
        <v>49</v>
      </c>
      <c r="E10" s="21" t="s">
        <v>50</v>
      </c>
      <c r="F10" s="22" t="n">
        <v>99000</v>
      </c>
      <c r="G10" s="22" t="n">
        <v>270000</v>
      </c>
      <c r="H10" s="22" t="n">
        <v>990000</v>
      </c>
      <c r="I10" s="23" t="n">
        <v>0.9</v>
      </c>
      <c r="J10" s="24" t="n">
        <v>30</v>
      </c>
      <c r="K10" s="22" t="n">
        <f aca="false">G10*J10</f>
        <v>8100000</v>
      </c>
      <c r="L10" s="20" t="s">
        <v>51</v>
      </c>
      <c r="M10" s="20" t="s">
        <v>52</v>
      </c>
    </row>
    <row r="11" customFormat="false" ht="49.5" hidden="false" customHeight="true" outlineLevel="0" collapsed="false">
      <c r="A11" s="12" t="s">
        <v>53</v>
      </c>
      <c r="B11" s="13" t="s">
        <v>54</v>
      </c>
      <c r="C11" s="13" t="s">
        <v>55</v>
      </c>
      <c r="D11" s="14" t="s">
        <v>42</v>
      </c>
      <c r="E11" s="14" t="s">
        <v>56</v>
      </c>
      <c r="F11" s="15" t="n">
        <v>1490000</v>
      </c>
      <c r="G11" s="15" t="n">
        <v>2900000</v>
      </c>
      <c r="H11" s="15" t="n">
        <v>4900000</v>
      </c>
      <c r="I11" s="16" t="n">
        <v>0.8</v>
      </c>
      <c r="J11" s="17" t="n">
        <v>2</v>
      </c>
      <c r="K11" s="15" t="n">
        <f aca="false">G11*J11</f>
        <v>5800000</v>
      </c>
      <c r="L11" s="13" t="s">
        <v>57</v>
      </c>
      <c r="M11" s="13" t="s">
        <v>58</v>
      </c>
    </row>
    <row r="12" customFormat="false" ht="15" hidden="false" customHeight="false" outlineLevel="0" collapsed="false">
      <c r="A12" s="25" t="s">
        <v>59</v>
      </c>
      <c r="B12" s="26"/>
      <c r="C12" s="26"/>
      <c r="D12" s="26"/>
      <c r="E12" s="26"/>
      <c r="F12" s="26"/>
      <c r="G12" s="26"/>
      <c r="H12" s="26"/>
      <c r="I12" s="26"/>
      <c r="J12" s="26"/>
      <c r="K12" s="27" t="n">
        <f aca="false">SUM(K5:K11)</f>
        <v>43805000</v>
      </c>
      <c r="L12" s="26"/>
      <c r="M12" s="26"/>
    </row>
    <row r="14" customFormat="false" ht="15" hidden="false" customHeight="false" outlineLevel="0" collapsed="false">
      <c r="A14" s="28" t="s">
        <v>60</v>
      </c>
    </row>
    <row r="15" customFormat="false" ht="28.35" hidden="false" customHeight="false" outlineLevel="0" collapsed="false">
      <c r="A15" s="29" t="s">
        <v>61</v>
      </c>
      <c r="B15" s="30" t="s">
        <v>62</v>
      </c>
    </row>
    <row r="16" customFormat="false" ht="28.35" hidden="false" customHeight="false" outlineLevel="0" collapsed="false">
      <c r="A16" s="31" t="s">
        <v>63</v>
      </c>
      <c r="B16" s="30" t="s">
        <v>64</v>
      </c>
    </row>
    <row r="17" customFormat="false" ht="28.35" hidden="false" customHeight="false" outlineLevel="0" collapsed="false">
      <c r="A17" s="32" t="s">
        <v>65</v>
      </c>
      <c r="B17" s="30" t="s">
        <v>66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36"/>
  </cols>
  <sheetData>
    <row r="1" customFormat="false" ht="19.4" hidden="false" customHeight="false" outlineLevel="0" collapsed="false">
      <c r="A1" s="33" t="s">
        <v>67</v>
      </c>
      <c r="B1" s="33"/>
      <c r="C1" s="33"/>
      <c r="D1" s="33"/>
      <c r="E1" s="33"/>
      <c r="F1" s="33"/>
    </row>
    <row r="3" customFormat="false" ht="30" hidden="false" customHeight="true" outlineLevel="0" collapsed="false">
      <c r="A3" s="4" t="s">
        <v>5</v>
      </c>
      <c r="B3" s="4" t="s">
        <v>68</v>
      </c>
      <c r="C3" s="4" t="s">
        <v>69</v>
      </c>
      <c r="D3" s="4" t="s">
        <v>70</v>
      </c>
      <c r="E3" s="4" t="s">
        <v>71</v>
      </c>
      <c r="F3" s="4" t="s">
        <v>72</v>
      </c>
    </row>
    <row r="4" customFormat="false" ht="69.75" hidden="false" customHeight="true" outlineLevel="0" collapsed="false">
      <c r="A4" s="34" t="s">
        <v>73</v>
      </c>
      <c r="B4" s="35" t="s">
        <v>74</v>
      </c>
      <c r="C4" s="35" t="s">
        <v>75</v>
      </c>
      <c r="D4" s="34" t="s">
        <v>76</v>
      </c>
      <c r="E4" s="35" t="s">
        <v>77</v>
      </c>
      <c r="F4" s="34" t="s">
        <v>78</v>
      </c>
    </row>
    <row r="5" customFormat="false" ht="69.75" hidden="false" customHeight="true" outlineLevel="0" collapsed="false">
      <c r="A5" s="34" t="s">
        <v>79</v>
      </c>
      <c r="B5" s="35" t="s">
        <v>80</v>
      </c>
      <c r="C5" s="34" t="s">
        <v>81</v>
      </c>
      <c r="D5" s="34" t="s">
        <v>82</v>
      </c>
      <c r="E5" s="34" t="s">
        <v>83</v>
      </c>
      <c r="F5" s="34" t="s">
        <v>84</v>
      </c>
    </row>
    <row r="6" customFormat="false" ht="69.75" hidden="false" customHeight="true" outlineLevel="0" collapsed="false">
      <c r="A6" s="34" t="s">
        <v>85</v>
      </c>
      <c r="B6" s="35" t="s">
        <v>86</v>
      </c>
      <c r="C6" s="35" t="s">
        <v>87</v>
      </c>
      <c r="D6" s="35" t="s">
        <v>88</v>
      </c>
      <c r="E6" s="34" t="s">
        <v>89</v>
      </c>
      <c r="F6" s="34" t="s">
        <v>90</v>
      </c>
    </row>
    <row r="7" customFormat="false" ht="69.75" hidden="false" customHeight="true" outlineLevel="0" collapsed="false">
      <c r="A7" s="34" t="s">
        <v>91</v>
      </c>
      <c r="B7" s="35" t="s">
        <v>92</v>
      </c>
      <c r="C7" s="34" t="s">
        <v>93</v>
      </c>
      <c r="D7" s="34" t="s">
        <v>94</v>
      </c>
      <c r="E7" s="34" t="s">
        <v>95</v>
      </c>
      <c r="F7" s="35" t="s">
        <v>96</v>
      </c>
    </row>
    <row r="8" customFormat="false" ht="69.75" hidden="false" customHeight="true" outlineLevel="0" collapsed="false">
      <c r="A8" s="35" t="s">
        <v>97</v>
      </c>
      <c r="B8" s="35" t="s">
        <v>98</v>
      </c>
      <c r="C8" s="34" t="s">
        <v>99</v>
      </c>
      <c r="D8" s="34" t="s">
        <v>100</v>
      </c>
      <c r="E8" s="34" t="s">
        <v>101</v>
      </c>
      <c r="F8" s="34" t="s">
        <v>102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18"/>
  </cols>
  <sheetData>
    <row r="1" customFormat="false" ht="19.4" hidden="false" customHeight="false" outlineLevel="0" collapsed="false">
      <c r="A1" s="33" t="s">
        <v>103</v>
      </c>
      <c r="B1" s="33"/>
      <c r="C1" s="33"/>
      <c r="D1" s="33"/>
      <c r="E1" s="33"/>
      <c r="F1" s="33"/>
    </row>
    <row r="3" customFormat="false" ht="11.9" hidden="false" customHeight="false" outlineLevel="0" collapsed="false">
      <c r="A3" s="36" t="s">
        <v>104</v>
      </c>
      <c r="B3" s="36"/>
      <c r="C3" s="36"/>
      <c r="D3" s="36"/>
      <c r="E3" s="36"/>
      <c r="F3" s="36"/>
    </row>
    <row r="5" customFormat="false" ht="30" hidden="false" customHeight="true" outlineLevel="0" collapsed="false">
      <c r="A5" s="3" t="s">
        <v>2</v>
      </c>
      <c r="B5" s="4" t="s">
        <v>3</v>
      </c>
      <c r="C5" s="4" t="s">
        <v>105</v>
      </c>
      <c r="D5" s="4" t="s">
        <v>106</v>
      </c>
      <c r="E5" s="4" t="s">
        <v>107</v>
      </c>
      <c r="F5" s="4" t="s">
        <v>108</v>
      </c>
    </row>
    <row r="6" customFormat="false" ht="15" hidden="false" customHeight="false" outlineLevel="0" collapsed="false">
      <c r="A6" s="37" t="s">
        <v>15</v>
      </c>
      <c r="B6" s="38" t="s">
        <v>109</v>
      </c>
      <c r="C6" s="39" t="n">
        <v>290000</v>
      </c>
      <c r="D6" s="40" t="n">
        <v>8</v>
      </c>
      <c r="E6" s="39" t="n">
        <f aca="false">C6*D6</f>
        <v>2320000</v>
      </c>
      <c r="F6" s="39" t="n">
        <f aca="false">E6*12</f>
        <v>27840000</v>
      </c>
    </row>
    <row r="7" customFormat="false" ht="15" hidden="false" customHeight="false" outlineLevel="0" collapsed="false">
      <c r="A7" s="37" t="s">
        <v>22</v>
      </c>
      <c r="B7" s="38" t="s">
        <v>24</v>
      </c>
      <c r="C7" s="39" t="n">
        <v>3500000</v>
      </c>
      <c r="D7" s="40" t="n">
        <v>2</v>
      </c>
      <c r="E7" s="39" t="n">
        <f aca="false">C7*D7</f>
        <v>7000000</v>
      </c>
      <c r="F7" s="39" t="n">
        <f aca="false">E7*12</f>
        <v>84000000</v>
      </c>
    </row>
    <row r="8" customFormat="false" ht="15" hidden="false" customHeight="false" outlineLevel="0" collapsed="false">
      <c r="A8" s="37" t="s">
        <v>27</v>
      </c>
      <c r="B8" s="41" t="s">
        <v>110</v>
      </c>
      <c r="C8" s="39" t="n">
        <v>1800000</v>
      </c>
      <c r="D8" s="40" t="n">
        <v>3</v>
      </c>
      <c r="E8" s="39" t="n">
        <f aca="false">C8*D8</f>
        <v>5400000</v>
      </c>
      <c r="F8" s="39" t="n">
        <f aca="false">E8*12</f>
        <v>64800000</v>
      </c>
    </row>
    <row r="9" customFormat="false" ht="15" hidden="false" customHeight="false" outlineLevel="0" collapsed="false">
      <c r="A9" s="37" t="s">
        <v>33</v>
      </c>
      <c r="B9" s="38" t="s">
        <v>111</v>
      </c>
      <c r="C9" s="39" t="n">
        <v>449000</v>
      </c>
      <c r="D9" s="40" t="n">
        <v>25</v>
      </c>
      <c r="E9" s="39" t="n">
        <f aca="false">C9*D9</f>
        <v>11225000</v>
      </c>
      <c r="F9" s="39" t="n">
        <f aca="false">E9*12</f>
        <v>134700000</v>
      </c>
    </row>
    <row r="10" customFormat="false" ht="15" hidden="false" customHeight="false" outlineLevel="0" collapsed="false">
      <c r="A10" s="37" t="s">
        <v>39</v>
      </c>
      <c r="B10" s="38" t="s">
        <v>112</v>
      </c>
      <c r="C10" s="39" t="n">
        <v>990000</v>
      </c>
      <c r="D10" s="40" t="n">
        <v>4</v>
      </c>
      <c r="E10" s="39" t="n">
        <f aca="false">C10*D10</f>
        <v>3960000</v>
      </c>
      <c r="F10" s="39" t="n">
        <f aca="false">E10*12</f>
        <v>47520000</v>
      </c>
    </row>
    <row r="11" customFormat="false" ht="15" hidden="false" customHeight="false" outlineLevel="0" collapsed="false">
      <c r="A11" s="37" t="s">
        <v>46</v>
      </c>
      <c r="B11" s="38" t="s">
        <v>113</v>
      </c>
      <c r="C11" s="39" t="n">
        <v>270000</v>
      </c>
      <c r="D11" s="40" t="n">
        <v>30</v>
      </c>
      <c r="E11" s="39" t="n">
        <f aca="false">C11*D11</f>
        <v>8100000</v>
      </c>
      <c r="F11" s="39" t="n">
        <f aca="false">E11*12</f>
        <v>97200000</v>
      </c>
    </row>
    <row r="12" customFormat="false" ht="15" hidden="false" customHeight="false" outlineLevel="0" collapsed="false">
      <c r="A12" s="37" t="s">
        <v>53</v>
      </c>
      <c r="B12" s="38" t="s">
        <v>114</v>
      </c>
      <c r="C12" s="39" t="n">
        <v>2900000</v>
      </c>
      <c r="D12" s="40" t="n">
        <v>0.7</v>
      </c>
      <c r="E12" s="39" t="n">
        <f aca="false">C12*D12</f>
        <v>2030000</v>
      </c>
      <c r="F12" s="39" t="n">
        <f aca="false">E12*12</f>
        <v>24360000</v>
      </c>
    </row>
    <row r="13" customFormat="false" ht="15" hidden="false" customHeight="false" outlineLevel="0" collapsed="false">
      <c r="A13" s="26"/>
      <c r="B13" s="42" t="s">
        <v>115</v>
      </c>
      <c r="C13" s="26"/>
      <c r="D13" s="26"/>
      <c r="E13" s="27" t="n">
        <f aca="false">SUM(E6:E12)</f>
        <v>40035000</v>
      </c>
      <c r="F13" s="27" t="n">
        <f aca="false">SUM(F6:F12)</f>
        <v>480420000</v>
      </c>
    </row>
    <row r="16" customFormat="false" ht="15" hidden="false" customHeight="false" outlineLevel="0" collapsed="false">
      <c r="A16" s="43" t="s">
        <v>116</v>
      </c>
    </row>
    <row r="17" customFormat="false" ht="15" hidden="false" customHeight="false" outlineLevel="0" collapsed="false">
      <c r="A17" s="44" t="s">
        <v>117</v>
      </c>
      <c r="B17" s="45" t="n">
        <v>0.15</v>
      </c>
      <c r="C17" s="46" t="s">
        <v>118</v>
      </c>
    </row>
    <row r="18" customFormat="false" ht="15" hidden="false" customHeight="false" outlineLevel="0" collapsed="false">
      <c r="A18" s="44" t="s">
        <v>119</v>
      </c>
      <c r="B18" s="45" t="n">
        <v>0.03</v>
      </c>
      <c r="C18" s="47" t="s">
        <v>120</v>
      </c>
    </row>
    <row r="19" customFormat="false" ht="15" hidden="false" customHeight="false" outlineLevel="0" collapsed="false">
      <c r="A19" s="44" t="s">
        <v>121</v>
      </c>
      <c r="B19" s="48" t="n">
        <v>200000</v>
      </c>
      <c r="C19" s="46" t="s">
        <v>122</v>
      </c>
    </row>
    <row r="20" customFormat="false" ht="15" hidden="false" customHeight="false" outlineLevel="0" collapsed="false">
      <c r="A20" s="44" t="s">
        <v>123</v>
      </c>
      <c r="B20" s="48" t="n">
        <v>1000000</v>
      </c>
      <c r="C20" s="46" t="s">
        <v>124</v>
      </c>
    </row>
    <row r="21" customFormat="false" ht="15" hidden="false" customHeight="false" outlineLevel="0" collapsed="false">
      <c r="A21" s="44" t="s">
        <v>125</v>
      </c>
      <c r="B21" s="48" t="n">
        <v>1500000</v>
      </c>
      <c r="C21" s="46" t="s">
        <v>126</v>
      </c>
    </row>
    <row r="24" customFormat="false" ht="15" hidden="false" customHeight="false" outlineLevel="0" collapsed="false">
      <c r="A24" s="43" t="s">
        <v>127</v>
      </c>
    </row>
    <row r="25" customFormat="false" ht="15" hidden="false" customHeight="false" outlineLevel="0" collapsed="false">
      <c r="A25" s="49" t="s">
        <v>128</v>
      </c>
      <c r="B25" s="50" t="n">
        <f aca="false">F13</f>
        <v>480420000</v>
      </c>
    </row>
    <row r="26" customFormat="false" ht="15" hidden="false" customHeight="false" outlineLevel="0" collapsed="false">
      <c r="A26" s="0" t="s">
        <v>129</v>
      </c>
      <c r="B26" s="50" t="n">
        <f aca="false">-F13*(B17+B18)</f>
        <v>-86475600</v>
      </c>
    </row>
    <row r="27" customFormat="false" ht="15" hidden="false" customHeight="false" outlineLevel="0" collapsed="false">
      <c r="A27" s="0" t="s">
        <v>130</v>
      </c>
      <c r="B27" s="50" t="n">
        <f aca="false">-(B19+B20)*12</f>
        <v>-14400000</v>
      </c>
    </row>
    <row r="28" customFormat="false" ht="15" hidden="false" customHeight="false" outlineLevel="0" collapsed="false">
      <c r="A28" s="0" t="s">
        <v>131</v>
      </c>
      <c r="B28" s="50" t="n">
        <f aca="false">-B21</f>
        <v>-1500000</v>
      </c>
    </row>
    <row r="29" customFormat="false" ht="15" hidden="false" customHeight="false" outlineLevel="0" collapsed="false">
      <c r="A29" s="51" t="s">
        <v>132</v>
      </c>
      <c r="B29" s="52" t="n">
        <f aca="false">SUM(B25:B28)</f>
        <v>378044400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36"/>
  </cols>
  <sheetData>
    <row r="1" customFormat="false" ht="19.4" hidden="false" customHeight="false" outlineLevel="0" collapsed="false">
      <c r="A1" s="1" t="s">
        <v>133</v>
      </c>
      <c r="B1" s="1"/>
      <c r="C1" s="1"/>
      <c r="D1" s="1"/>
      <c r="E1" s="1"/>
    </row>
    <row r="3" customFormat="false" ht="30" hidden="false" customHeight="true" outlineLevel="0" collapsed="false">
      <c r="A3" s="4" t="s">
        <v>134</v>
      </c>
      <c r="B3" s="4" t="s">
        <v>135</v>
      </c>
      <c r="C3" s="4" t="s">
        <v>136</v>
      </c>
      <c r="D3" s="4" t="s">
        <v>137</v>
      </c>
      <c r="E3" s="4" t="s">
        <v>138</v>
      </c>
    </row>
    <row r="4" customFormat="false" ht="64.5" hidden="false" customHeight="true" outlineLevel="0" collapsed="false">
      <c r="A4" s="35" t="s">
        <v>139</v>
      </c>
      <c r="B4" s="34" t="s">
        <v>140</v>
      </c>
      <c r="C4" s="34" t="s">
        <v>141</v>
      </c>
      <c r="D4" s="34" t="s">
        <v>142</v>
      </c>
      <c r="E4" s="34" t="s">
        <v>143</v>
      </c>
    </row>
    <row r="5" customFormat="false" ht="64.5" hidden="false" customHeight="true" outlineLevel="0" collapsed="false">
      <c r="A5" s="35" t="s">
        <v>144</v>
      </c>
      <c r="B5" s="34" t="s">
        <v>145</v>
      </c>
      <c r="C5" s="34" t="s">
        <v>146</v>
      </c>
      <c r="D5" s="34" t="s">
        <v>147</v>
      </c>
      <c r="E5" s="35" t="s">
        <v>148</v>
      </c>
    </row>
    <row r="6" customFormat="false" ht="64.5" hidden="false" customHeight="true" outlineLevel="0" collapsed="false">
      <c r="A6" s="35" t="s">
        <v>149</v>
      </c>
      <c r="B6" s="34" t="s">
        <v>150</v>
      </c>
      <c r="C6" s="35" t="s">
        <v>151</v>
      </c>
      <c r="D6" s="34" t="s">
        <v>152</v>
      </c>
      <c r="E6" s="34" t="s">
        <v>153</v>
      </c>
    </row>
    <row r="7" customFormat="false" ht="64.5" hidden="false" customHeight="true" outlineLevel="0" collapsed="false">
      <c r="A7" s="35" t="s">
        <v>154</v>
      </c>
      <c r="B7" s="34" t="s">
        <v>155</v>
      </c>
      <c r="C7" s="34" t="s">
        <v>156</v>
      </c>
      <c r="D7" s="34" t="s">
        <v>157</v>
      </c>
      <c r="E7" s="35" t="s">
        <v>158</v>
      </c>
    </row>
    <row r="8" customFormat="false" ht="64.5" hidden="false" customHeight="true" outlineLevel="0" collapsed="false">
      <c r="A8" s="35" t="s">
        <v>159</v>
      </c>
      <c r="B8" s="34" t="s">
        <v>160</v>
      </c>
      <c r="C8" s="34" t="s">
        <v>161</v>
      </c>
      <c r="D8" s="34" t="s">
        <v>162</v>
      </c>
      <c r="E8" s="34" t="s">
        <v>163</v>
      </c>
    </row>
    <row r="9" customFormat="false" ht="64.5" hidden="false" customHeight="true" outlineLevel="0" collapsed="false">
      <c r="A9" s="35" t="s">
        <v>164</v>
      </c>
      <c r="B9" s="34" t="s">
        <v>165</v>
      </c>
      <c r="C9" s="34" t="s">
        <v>166</v>
      </c>
      <c r="D9" s="34" t="s">
        <v>167</v>
      </c>
      <c r="E9" s="34" t="s">
        <v>168</v>
      </c>
    </row>
    <row r="10" customFormat="false" ht="64.5" hidden="false" customHeight="true" outlineLevel="0" collapsed="false">
      <c r="A10" s="35" t="s">
        <v>169</v>
      </c>
      <c r="B10" s="34" t="s">
        <v>170</v>
      </c>
      <c r="C10" s="34" t="s">
        <v>171</v>
      </c>
      <c r="D10" s="34" t="s">
        <v>172</v>
      </c>
      <c r="E10" s="34" t="s">
        <v>173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13" min="2" style="0" width="12"/>
    <col collapsed="false" customWidth="true" hidden="false" outlineLevel="0" max="14" min="14" style="0" width="14"/>
  </cols>
  <sheetData>
    <row r="1" customFormat="false" ht="19.4" hidden="false" customHeight="false" outlineLevel="0" collapsed="false">
      <c r="A1" s="1" t="s">
        <v>174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1.9" hidden="false" customHeight="false" outlineLevel="0" collapsed="false">
      <c r="A3" s="36" t="s">
        <v>175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5" customFormat="false" ht="15" hidden="false" customHeight="false" outlineLevel="0" collapsed="false">
      <c r="A5" s="43" t="s">
        <v>176</v>
      </c>
    </row>
    <row r="6" customFormat="false" ht="15" hidden="false" customHeight="false" outlineLevel="0" collapsed="false">
      <c r="A6" s="3" t="s">
        <v>2</v>
      </c>
      <c r="B6" s="3" t="s">
        <v>177</v>
      </c>
      <c r="C6" s="3" t="s">
        <v>178</v>
      </c>
      <c r="D6" s="3" t="s">
        <v>179</v>
      </c>
      <c r="E6" s="3" t="s">
        <v>180</v>
      </c>
      <c r="F6" s="3" t="s">
        <v>181</v>
      </c>
      <c r="G6" s="3" t="s">
        <v>182</v>
      </c>
      <c r="H6" s="3" t="s">
        <v>183</v>
      </c>
      <c r="I6" s="3" t="s">
        <v>184</v>
      </c>
      <c r="J6" s="3" t="s">
        <v>185</v>
      </c>
      <c r="K6" s="3" t="s">
        <v>186</v>
      </c>
      <c r="L6" s="3" t="s">
        <v>187</v>
      </c>
      <c r="M6" s="3" t="s">
        <v>188</v>
      </c>
      <c r="N6" s="4" t="s">
        <v>59</v>
      </c>
    </row>
    <row r="7" customFormat="false" ht="15" hidden="false" customHeight="false" outlineLevel="0" collapsed="false">
      <c r="A7" s="53" t="s">
        <v>15</v>
      </c>
      <c r="B7" s="54" t="n">
        <v>0</v>
      </c>
      <c r="C7" s="54" t="n">
        <v>0</v>
      </c>
      <c r="D7" s="54" t="n">
        <v>0</v>
      </c>
      <c r="E7" s="54" t="n">
        <v>0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0</v>
      </c>
      <c r="N7" s="55" t="n">
        <f aca="false">SUM(B7:M7)</f>
        <v>0</v>
      </c>
    </row>
    <row r="8" customFormat="false" ht="15" hidden="false" customHeight="false" outlineLevel="0" collapsed="false">
      <c r="A8" s="53" t="s">
        <v>22</v>
      </c>
      <c r="B8" s="54" t="n">
        <v>0</v>
      </c>
      <c r="C8" s="54" t="n">
        <v>0</v>
      </c>
      <c r="D8" s="54" t="n">
        <v>0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0</v>
      </c>
      <c r="J8" s="54" t="n">
        <v>0</v>
      </c>
      <c r="K8" s="54" t="n">
        <v>0</v>
      </c>
      <c r="L8" s="54" t="n">
        <v>0</v>
      </c>
      <c r="M8" s="54" t="n">
        <v>0</v>
      </c>
      <c r="N8" s="55" t="n">
        <f aca="false">SUM(B8:M8)</f>
        <v>0</v>
      </c>
    </row>
    <row r="9" customFormat="false" ht="15" hidden="false" customHeight="false" outlineLevel="0" collapsed="false">
      <c r="A9" s="53" t="s">
        <v>27</v>
      </c>
      <c r="B9" s="54" t="n">
        <v>0</v>
      </c>
      <c r="C9" s="54" t="n">
        <v>0</v>
      </c>
      <c r="D9" s="54" t="n">
        <v>0</v>
      </c>
      <c r="E9" s="54" t="n">
        <v>0</v>
      </c>
      <c r="F9" s="54" t="n">
        <v>0</v>
      </c>
      <c r="G9" s="54" t="n">
        <v>0</v>
      </c>
      <c r="H9" s="54" t="n">
        <v>0</v>
      </c>
      <c r="I9" s="54" t="n">
        <v>0</v>
      </c>
      <c r="J9" s="54" t="n">
        <v>0</v>
      </c>
      <c r="K9" s="54" t="n">
        <v>0</v>
      </c>
      <c r="L9" s="54" t="n">
        <v>0</v>
      </c>
      <c r="M9" s="54" t="n">
        <v>0</v>
      </c>
      <c r="N9" s="55" t="n">
        <f aca="false">SUM(B9:M9)</f>
        <v>0</v>
      </c>
    </row>
    <row r="10" customFormat="false" ht="15" hidden="false" customHeight="false" outlineLevel="0" collapsed="false">
      <c r="A10" s="53" t="s">
        <v>33</v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0</v>
      </c>
      <c r="H10" s="54" t="n">
        <v>0</v>
      </c>
      <c r="I10" s="54" t="n">
        <v>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f aca="false">SUM(B10:M10)</f>
        <v>0</v>
      </c>
    </row>
    <row r="11" customFormat="false" ht="15" hidden="false" customHeight="false" outlineLevel="0" collapsed="false">
      <c r="A11" s="53" t="s">
        <v>39</v>
      </c>
      <c r="B11" s="54" t="n">
        <v>0</v>
      </c>
      <c r="C11" s="54" t="n">
        <v>0</v>
      </c>
      <c r="D11" s="54" t="n">
        <v>0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0</v>
      </c>
      <c r="J11" s="54" t="n">
        <v>0</v>
      </c>
      <c r="K11" s="54" t="n">
        <v>0</v>
      </c>
      <c r="L11" s="54" t="n">
        <v>0</v>
      </c>
      <c r="M11" s="54" t="n">
        <v>0</v>
      </c>
      <c r="N11" s="55" t="n">
        <f aca="false">SUM(B11:M11)</f>
        <v>0</v>
      </c>
    </row>
    <row r="12" customFormat="false" ht="15" hidden="false" customHeight="false" outlineLevel="0" collapsed="false">
      <c r="A12" s="53" t="s">
        <v>46</v>
      </c>
      <c r="B12" s="54" t="n">
        <v>0</v>
      </c>
      <c r="C12" s="54" t="n">
        <v>0</v>
      </c>
      <c r="D12" s="54" t="n">
        <v>0</v>
      </c>
      <c r="E12" s="54" t="n">
        <v>0</v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0</v>
      </c>
      <c r="M12" s="54" t="n">
        <v>0</v>
      </c>
      <c r="N12" s="55" t="n">
        <f aca="false">SUM(B12:M12)</f>
        <v>0</v>
      </c>
    </row>
    <row r="13" customFormat="false" ht="15" hidden="false" customHeight="false" outlineLevel="0" collapsed="false">
      <c r="A13" s="53" t="s">
        <v>53</v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4" t="n">
        <v>0</v>
      </c>
      <c r="N13" s="55" t="n">
        <f aca="false">SUM(B13:M13)</f>
        <v>0</v>
      </c>
    </row>
    <row r="14" customFormat="false" ht="15" hidden="false" customHeight="false" outlineLevel="0" collapsed="false">
      <c r="A14" s="56" t="s">
        <v>59</v>
      </c>
      <c r="B14" s="57" t="n">
        <f aca="false">SUM(B7:B13)</f>
        <v>0</v>
      </c>
      <c r="C14" s="57" t="n">
        <f aca="false">SUM(C7:C13)</f>
        <v>0</v>
      </c>
      <c r="D14" s="57" t="n">
        <f aca="false">SUM(D7:D13)</f>
        <v>0</v>
      </c>
      <c r="E14" s="57" t="n">
        <f aca="false">SUM(E7:E13)</f>
        <v>0</v>
      </c>
      <c r="F14" s="57" t="n">
        <f aca="false">SUM(F7:F13)</f>
        <v>0</v>
      </c>
      <c r="G14" s="57" t="n">
        <f aca="false">SUM(G7:G13)</f>
        <v>0</v>
      </c>
      <c r="H14" s="57" t="n">
        <f aca="false">SUM(H7:H13)</f>
        <v>0</v>
      </c>
      <c r="I14" s="57" t="n">
        <f aca="false">SUM(I7:I13)</f>
        <v>0</v>
      </c>
      <c r="J14" s="57" t="n">
        <f aca="false">SUM(J7:J13)</f>
        <v>0</v>
      </c>
      <c r="K14" s="57" t="n">
        <f aca="false">SUM(K7:K13)</f>
        <v>0</v>
      </c>
      <c r="L14" s="57" t="n">
        <f aca="false">SUM(L7:L13)</f>
        <v>0</v>
      </c>
      <c r="M14" s="57" t="n">
        <f aca="false">SUM(M7:M13)</f>
        <v>0</v>
      </c>
      <c r="N14" s="57" t="n">
        <f aca="false">SUM(N7:N13)</f>
        <v>0</v>
      </c>
    </row>
    <row r="17" customFormat="false" ht="15" hidden="false" customHeight="false" outlineLevel="0" collapsed="false">
      <c r="A17" s="43" t="s">
        <v>189</v>
      </c>
    </row>
    <row r="18" customFormat="false" ht="15" hidden="false" customHeight="false" outlineLevel="0" collapsed="false">
      <c r="A18" s="3" t="s">
        <v>2</v>
      </c>
      <c r="B18" s="3" t="s">
        <v>177</v>
      </c>
      <c r="C18" s="3" t="s">
        <v>178</v>
      </c>
      <c r="D18" s="3" t="s">
        <v>179</v>
      </c>
      <c r="E18" s="3" t="s">
        <v>180</v>
      </c>
      <c r="F18" s="3" t="s">
        <v>181</v>
      </c>
      <c r="G18" s="3" t="s">
        <v>182</v>
      </c>
      <c r="H18" s="3" t="s">
        <v>183</v>
      </c>
      <c r="I18" s="3" t="s">
        <v>184</v>
      </c>
      <c r="J18" s="3" t="s">
        <v>185</v>
      </c>
      <c r="K18" s="3" t="s">
        <v>186</v>
      </c>
      <c r="L18" s="3" t="s">
        <v>187</v>
      </c>
      <c r="M18" s="3" t="s">
        <v>188</v>
      </c>
      <c r="N18" s="4" t="s">
        <v>59</v>
      </c>
    </row>
    <row r="19" customFormat="false" ht="15" hidden="false" customHeight="false" outlineLevel="0" collapsed="false">
      <c r="A19" s="53" t="s">
        <v>15</v>
      </c>
      <c r="B19" s="58" t="n">
        <f aca="false">B7*290000</f>
        <v>0</v>
      </c>
      <c r="C19" s="58" t="n">
        <f aca="false">C7*290000</f>
        <v>0</v>
      </c>
      <c r="D19" s="58" t="n">
        <f aca="false">D7*290000</f>
        <v>0</v>
      </c>
      <c r="E19" s="58" t="n">
        <f aca="false">E7*290000</f>
        <v>0</v>
      </c>
      <c r="F19" s="58" t="n">
        <f aca="false">F7*290000</f>
        <v>0</v>
      </c>
      <c r="G19" s="58" t="n">
        <f aca="false">G7*290000</f>
        <v>0</v>
      </c>
      <c r="H19" s="58" t="n">
        <f aca="false">H7*290000</f>
        <v>0</v>
      </c>
      <c r="I19" s="58" t="n">
        <f aca="false">I7*290000</f>
        <v>0</v>
      </c>
      <c r="J19" s="58" t="n">
        <f aca="false">J7*290000</f>
        <v>0</v>
      </c>
      <c r="K19" s="58" t="n">
        <f aca="false">K7*290000</f>
        <v>0</v>
      </c>
      <c r="L19" s="58" t="n">
        <f aca="false">L7*290000</f>
        <v>0</v>
      </c>
      <c r="M19" s="58" t="n">
        <f aca="false">M7*290000</f>
        <v>0</v>
      </c>
      <c r="N19" s="59" t="n">
        <f aca="false">SUM(B19:M19)</f>
        <v>0</v>
      </c>
    </row>
    <row r="20" customFormat="false" ht="15" hidden="false" customHeight="false" outlineLevel="0" collapsed="false">
      <c r="A20" s="53" t="s">
        <v>22</v>
      </c>
      <c r="B20" s="58" t="n">
        <f aca="false">B8*3500000</f>
        <v>0</v>
      </c>
      <c r="C20" s="58" t="n">
        <f aca="false">C8*3500000</f>
        <v>0</v>
      </c>
      <c r="D20" s="58" t="n">
        <f aca="false">D8*3500000</f>
        <v>0</v>
      </c>
      <c r="E20" s="58" t="n">
        <f aca="false">E8*3500000</f>
        <v>0</v>
      </c>
      <c r="F20" s="58" t="n">
        <f aca="false">F8*3500000</f>
        <v>0</v>
      </c>
      <c r="G20" s="58" t="n">
        <f aca="false">G8*3500000</f>
        <v>0</v>
      </c>
      <c r="H20" s="58" t="n">
        <f aca="false">H8*3500000</f>
        <v>0</v>
      </c>
      <c r="I20" s="58" t="n">
        <f aca="false">I8*3500000</f>
        <v>0</v>
      </c>
      <c r="J20" s="58" t="n">
        <f aca="false">J8*3500000</f>
        <v>0</v>
      </c>
      <c r="K20" s="58" t="n">
        <f aca="false">K8*3500000</f>
        <v>0</v>
      </c>
      <c r="L20" s="58" t="n">
        <f aca="false">L8*3500000</f>
        <v>0</v>
      </c>
      <c r="M20" s="58" t="n">
        <f aca="false">M8*3500000</f>
        <v>0</v>
      </c>
      <c r="N20" s="59" t="n">
        <f aca="false">SUM(B20:M20)</f>
        <v>0</v>
      </c>
    </row>
    <row r="21" customFormat="false" ht="15" hidden="false" customHeight="false" outlineLevel="0" collapsed="false">
      <c r="A21" s="53" t="s">
        <v>27</v>
      </c>
      <c r="B21" s="58" t="n">
        <f aca="false">B9*1800000</f>
        <v>0</v>
      </c>
      <c r="C21" s="58" t="n">
        <f aca="false">C9*1800000</f>
        <v>0</v>
      </c>
      <c r="D21" s="58" t="n">
        <f aca="false">D9*1800000</f>
        <v>0</v>
      </c>
      <c r="E21" s="58" t="n">
        <f aca="false">E9*1800000</f>
        <v>0</v>
      </c>
      <c r="F21" s="58" t="n">
        <f aca="false">F9*1800000</f>
        <v>0</v>
      </c>
      <c r="G21" s="58" t="n">
        <f aca="false">G9*1800000</f>
        <v>0</v>
      </c>
      <c r="H21" s="58" t="n">
        <f aca="false">H9*1800000</f>
        <v>0</v>
      </c>
      <c r="I21" s="58" t="n">
        <f aca="false">I9*1800000</f>
        <v>0</v>
      </c>
      <c r="J21" s="58" t="n">
        <f aca="false">J9*1800000</f>
        <v>0</v>
      </c>
      <c r="K21" s="58" t="n">
        <f aca="false">K9*1800000</f>
        <v>0</v>
      </c>
      <c r="L21" s="58" t="n">
        <f aca="false">L9*1800000</f>
        <v>0</v>
      </c>
      <c r="M21" s="58" t="n">
        <f aca="false">M9*1800000</f>
        <v>0</v>
      </c>
      <c r="N21" s="59" t="n">
        <f aca="false">SUM(B21:M21)</f>
        <v>0</v>
      </c>
    </row>
    <row r="22" customFormat="false" ht="15" hidden="false" customHeight="false" outlineLevel="0" collapsed="false">
      <c r="A22" s="53" t="s">
        <v>33</v>
      </c>
      <c r="B22" s="58" t="n">
        <f aca="false">B10*449000</f>
        <v>0</v>
      </c>
      <c r="C22" s="58" t="n">
        <f aca="false">C10*449000</f>
        <v>0</v>
      </c>
      <c r="D22" s="58" t="n">
        <f aca="false">D10*449000</f>
        <v>0</v>
      </c>
      <c r="E22" s="58" t="n">
        <f aca="false">E10*449000</f>
        <v>0</v>
      </c>
      <c r="F22" s="58" t="n">
        <f aca="false">F10*449000</f>
        <v>0</v>
      </c>
      <c r="G22" s="58" t="n">
        <f aca="false">G10*449000</f>
        <v>0</v>
      </c>
      <c r="H22" s="58" t="n">
        <f aca="false">H10*449000</f>
        <v>0</v>
      </c>
      <c r="I22" s="58" t="n">
        <f aca="false">I10*449000</f>
        <v>0</v>
      </c>
      <c r="J22" s="58" t="n">
        <f aca="false">J10*449000</f>
        <v>0</v>
      </c>
      <c r="K22" s="58" t="n">
        <f aca="false">K10*449000</f>
        <v>0</v>
      </c>
      <c r="L22" s="58" t="n">
        <f aca="false">L10*449000</f>
        <v>0</v>
      </c>
      <c r="M22" s="58" t="n">
        <f aca="false">M10*449000</f>
        <v>0</v>
      </c>
      <c r="N22" s="59" t="n">
        <f aca="false">SUM(B22:M22)</f>
        <v>0</v>
      </c>
    </row>
    <row r="23" customFormat="false" ht="15" hidden="false" customHeight="false" outlineLevel="0" collapsed="false">
      <c r="A23" s="53" t="s">
        <v>39</v>
      </c>
      <c r="B23" s="58" t="n">
        <f aca="false">B11*990000</f>
        <v>0</v>
      </c>
      <c r="C23" s="58" t="n">
        <f aca="false">C11*990000</f>
        <v>0</v>
      </c>
      <c r="D23" s="58" t="n">
        <f aca="false">D11*990000</f>
        <v>0</v>
      </c>
      <c r="E23" s="58" t="n">
        <f aca="false">E11*990000</f>
        <v>0</v>
      </c>
      <c r="F23" s="58" t="n">
        <f aca="false">F11*990000</f>
        <v>0</v>
      </c>
      <c r="G23" s="58" t="n">
        <f aca="false">G11*990000</f>
        <v>0</v>
      </c>
      <c r="H23" s="58" t="n">
        <f aca="false">H11*990000</f>
        <v>0</v>
      </c>
      <c r="I23" s="58" t="n">
        <f aca="false">I11*990000</f>
        <v>0</v>
      </c>
      <c r="J23" s="58" t="n">
        <f aca="false">J11*990000</f>
        <v>0</v>
      </c>
      <c r="K23" s="58" t="n">
        <f aca="false">K11*990000</f>
        <v>0</v>
      </c>
      <c r="L23" s="58" t="n">
        <f aca="false">L11*990000</f>
        <v>0</v>
      </c>
      <c r="M23" s="58" t="n">
        <f aca="false">M11*990000</f>
        <v>0</v>
      </c>
      <c r="N23" s="59" t="n">
        <f aca="false">SUM(B23:M23)</f>
        <v>0</v>
      </c>
    </row>
    <row r="24" customFormat="false" ht="15" hidden="false" customHeight="false" outlineLevel="0" collapsed="false">
      <c r="A24" s="53" t="s">
        <v>46</v>
      </c>
      <c r="B24" s="58" t="n">
        <f aca="false">B12*270000</f>
        <v>0</v>
      </c>
      <c r="C24" s="58" t="n">
        <f aca="false">C12*270000</f>
        <v>0</v>
      </c>
      <c r="D24" s="58" t="n">
        <f aca="false">D12*270000</f>
        <v>0</v>
      </c>
      <c r="E24" s="58" t="n">
        <f aca="false">E12*270000</f>
        <v>0</v>
      </c>
      <c r="F24" s="58" t="n">
        <f aca="false">F12*270000</f>
        <v>0</v>
      </c>
      <c r="G24" s="58" t="n">
        <f aca="false">G12*270000</f>
        <v>0</v>
      </c>
      <c r="H24" s="58" t="n">
        <f aca="false">H12*270000</f>
        <v>0</v>
      </c>
      <c r="I24" s="58" t="n">
        <f aca="false">I12*270000</f>
        <v>0</v>
      </c>
      <c r="J24" s="58" t="n">
        <f aca="false">J12*270000</f>
        <v>0</v>
      </c>
      <c r="K24" s="58" t="n">
        <f aca="false">K12*270000</f>
        <v>0</v>
      </c>
      <c r="L24" s="58" t="n">
        <f aca="false">L12*270000</f>
        <v>0</v>
      </c>
      <c r="M24" s="58" t="n">
        <f aca="false">M12*270000</f>
        <v>0</v>
      </c>
      <c r="N24" s="59" t="n">
        <f aca="false">SUM(B24:M24)</f>
        <v>0</v>
      </c>
    </row>
    <row r="25" customFormat="false" ht="15" hidden="false" customHeight="false" outlineLevel="0" collapsed="false">
      <c r="A25" s="53" t="s">
        <v>53</v>
      </c>
      <c r="B25" s="58" t="n">
        <f aca="false">B13*2900000</f>
        <v>0</v>
      </c>
      <c r="C25" s="58" t="n">
        <f aca="false">C13*2900000</f>
        <v>0</v>
      </c>
      <c r="D25" s="58" t="n">
        <f aca="false">D13*2900000</f>
        <v>0</v>
      </c>
      <c r="E25" s="58" t="n">
        <f aca="false">E13*2900000</f>
        <v>0</v>
      </c>
      <c r="F25" s="58" t="n">
        <f aca="false">F13*2900000</f>
        <v>0</v>
      </c>
      <c r="G25" s="58" t="n">
        <f aca="false">G13*2900000</f>
        <v>0</v>
      </c>
      <c r="H25" s="58" t="n">
        <f aca="false">H13*2900000</f>
        <v>0</v>
      </c>
      <c r="I25" s="58" t="n">
        <f aca="false">I13*2900000</f>
        <v>0</v>
      </c>
      <c r="J25" s="58" t="n">
        <f aca="false">J13*2900000</f>
        <v>0</v>
      </c>
      <c r="K25" s="58" t="n">
        <f aca="false">K13*2900000</f>
        <v>0</v>
      </c>
      <c r="L25" s="58" t="n">
        <f aca="false">L13*2900000</f>
        <v>0</v>
      </c>
      <c r="M25" s="58" t="n">
        <f aca="false">M13*2900000</f>
        <v>0</v>
      </c>
      <c r="N25" s="59" t="n">
        <f aca="false">SUM(B25:M25)</f>
        <v>0</v>
      </c>
    </row>
    <row r="26" customFormat="false" ht="15" hidden="false" customHeight="false" outlineLevel="0" collapsed="false">
      <c r="A26" s="56" t="s">
        <v>59</v>
      </c>
      <c r="B26" s="60" t="n">
        <f aca="false">SUM(B19:B25)</f>
        <v>0</v>
      </c>
      <c r="C26" s="60" t="n">
        <f aca="false">SUM(C19:C25)</f>
        <v>0</v>
      </c>
      <c r="D26" s="60" t="n">
        <f aca="false">SUM(D19:D25)</f>
        <v>0</v>
      </c>
      <c r="E26" s="60" t="n">
        <f aca="false">SUM(E19:E25)</f>
        <v>0</v>
      </c>
      <c r="F26" s="60" t="n">
        <f aca="false">SUM(F19:F25)</f>
        <v>0</v>
      </c>
      <c r="G26" s="60" t="n">
        <f aca="false">SUM(G19:G25)</f>
        <v>0</v>
      </c>
      <c r="H26" s="60" t="n">
        <f aca="false">SUM(H19:H25)</f>
        <v>0</v>
      </c>
      <c r="I26" s="60" t="n">
        <f aca="false">SUM(I19:I25)</f>
        <v>0</v>
      </c>
      <c r="J26" s="60" t="n">
        <f aca="false">SUM(J19:J25)</f>
        <v>0</v>
      </c>
      <c r="K26" s="60" t="n">
        <f aca="false">SUM(K19:K25)</f>
        <v>0</v>
      </c>
      <c r="L26" s="60" t="n">
        <f aca="false">SUM(L19:L25)</f>
        <v>0</v>
      </c>
      <c r="M26" s="60" t="n">
        <f aca="false">SUM(M19:M25)</f>
        <v>0</v>
      </c>
      <c r="N26" s="60" t="n">
        <f aca="false">SUM(N19:N25)</f>
        <v>0</v>
      </c>
    </row>
  </sheetData>
  <mergeCells count="2">
    <mergeCell ref="A1:N1"/>
    <mergeCell ref="A3: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2026-05-23T05:17:00Z</dcterms:created>
  <dc:creator>openpyxl</dc:creator>
  <dc:description/>
  <dc:language>en-US</dc:language>
  <cp:lastModifiedBy/>
  <dcterms:modified xsi:type="dcterms:W3CDTF">2026-05-23T05:17:00Z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